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x\Nova fascikla\"/>
    </mc:Choice>
  </mc:AlternateContent>
  <xr:revisionPtr revIDLastSave="0" documentId="13_ncr:1_{0D9C9E9B-7106-4073-926A-F988836ACDAE}" xr6:coauthVersionLast="47" xr6:coauthVersionMax="47" xr10:uidLastSave="{00000000-0000-0000-0000-000000000000}"/>
  <bookViews>
    <workbookView xWindow="-120" yWindow="-120" windowWidth="20730" windowHeight="11160" firstSheet="10" activeTab="11" xr2:uid="{E5408268-F068-43C9-A408-D6378B9B1830}"/>
  </bookViews>
  <sheets>
    <sheet name="14_SUPABASE_SCHEMA" sheetId="20" r:id="rId1"/>
    <sheet name="13_BARKOD_QR" sheetId="19" r:id="rId2"/>
    <sheet name="ciljevi" sheetId="18" r:id="rId3"/>
    <sheet name="merila" sheetId="17" r:id="rId4"/>
    <sheet name="eskalacije" sheetId="16" r:id="rId5"/>
    <sheet name="osmd_izvestaji" sheetId="24" r:id="rId6"/>
    <sheet name="analiza_smena" sheetId="15" r:id="rId7"/>
    <sheet name="analiza_masina" sheetId="23" r:id="rId8"/>
    <sheet name="analiza_kontrolor" sheetId="22" r:id="rId9"/>
    <sheet name="pareto" sheetId="14" r:id="rId10"/>
    <sheet name="dpmo" sheetId="21" r:id="rId11"/>
    <sheet name="7_SPC_KARTE" sheetId="13" r:id="rId12"/>
    <sheet name="kontrolni_log" sheetId="12" r:id="rId13"/>
    <sheet name="unos_merenja" sheetId="11" r:id="rId14"/>
    <sheet name="radni_nalozi" sheetId="10" r:id="rId15"/>
    <sheet name="radnici" sheetId="9" r:id="rId16"/>
    <sheet name="linije" sheetId="1" r:id="rId17"/>
    <sheet name="delovi" sheetId="7" r:id="rId18"/>
    <sheet name="masine" sheetId="2" r:id="rId19"/>
    <sheet name="smene" sheetId="3" r:id="rId20"/>
    <sheet name="greske_katalog" sheetId="4" r:id="rId21"/>
    <sheet name="katalog_gresaka_vozilo" sheetId="5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3" l="1"/>
  <c r="H6" i="23"/>
  <c r="I5" i="23"/>
  <c r="H5" i="23"/>
  <c r="I4" i="23"/>
  <c r="H4" i="23"/>
  <c r="H6" i="22"/>
  <c r="H5" i="22"/>
  <c r="H4" i="22"/>
  <c r="G6" i="21"/>
  <c r="F6" i="21"/>
  <c r="G5" i="21"/>
  <c r="F5" i="21"/>
  <c r="G4" i="21"/>
  <c r="F4" i="21"/>
  <c r="I6" i="15"/>
  <c r="H6" i="15"/>
  <c r="I5" i="15"/>
  <c r="H5" i="15"/>
  <c r="I4" i="15"/>
  <c r="H4" i="15"/>
  <c r="F13" i="14"/>
  <c r="F12" i="14"/>
  <c r="F11" i="14"/>
  <c r="F10" i="14"/>
  <c r="F9" i="14"/>
  <c r="F8" i="14"/>
  <c r="F7" i="14"/>
  <c r="F6" i="14"/>
  <c r="F5" i="14"/>
  <c r="F4" i="14"/>
  <c r="G4" i="14" s="1"/>
  <c r="G5" i="14" s="1"/>
  <c r="G6" i="14" s="1"/>
  <c r="J18" i="13"/>
  <c r="I18" i="13"/>
  <c r="G18" i="13"/>
  <c r="J17" i="13"/>
  <c r="I17" i="13"/>
  <c r="G17" i="13"/>
  <c r="J16" i="13"/>
  <c r="I16" i="13"/>
  <c r="G16" i="13"/>
  <c r="J15" i="13"/>
  <c r="I15" i="13"/>
  <c r="G15" i="13"/>
  <c r="G7" i="14" l="1"/>
  <c r="G8" i="14" s="1"/>
  <c r="G9" i="14" s="1"/>
  <c r="G10" i="14" s="1"/>
  <c r="G11" i="14" s="1"/>
  <c r="G12" i="14" s="1"/>
  <c r="G13" i="14" s="1"/>
  <c r="G6" i="22"/>
  <c r="G4" i="22"/>
  <c r="G5" i="22"/>
</calcChain>
</file>

<file path=xl/sharedStrings.xml><?xml version="1.0" encoding="utf-8"?>
<sst xmlns="http://schemas.openxmlformats.org/spreadsheetml/2006/main" count="1892" uniqueCount="911">
  <si>
    <t>ID</t>
  </si>
  <si>
    <t>LINIJA</t>
  </si>
  <si>
    <t>PROCES</t>
  </si>
  <si>
    <t>OPERACIJA</t>
  </si>
  <si>
    <t>GRESKE</t>
  </si>
  <si>
    <t>Preseraj</t>
  </si>
  <si>
    <t>Priprema materijala</t>
  </si>
  <si>
    <t>Savijanje</t>
  </si>
  <si>
    <t>Pogresan radijus</t>
  </si>
  <si>
    <t>Podesavanje alata</t>
  </si>
  <si>
    <t>Probijanje</t>
  </si>
  <si>
    <t>Neujednacen ugao</t>
  </si>
  <si>
    <t>Pucanje</t>
  </si>
  <si>
    <t>Hranjenje prese</t>
  </si>
  <si>
    <t>Busenje</t>
  </si>
  <si>
    <t>Elasticno ugibanje</t>
  </si>
  <si>
    <t xml:space="preserve">Oblikovanje </t>
  </si>
  <si>
    <t>Rezanje</t>
  </si>
  <si>
    <t>Zavrsna obrada</t>
  </si>
  <si>
    <t>Izvlacenje</t>
  </si>
  <si>
    <t>Nabori</t>
  </si>
  <si>
    <t>Kontrola kvaliteta</t>
  </si>
  <si>
    <t>Razdvajanje</t>
  </si>
  <si>
    <t>Ogrebotine</t>
  </si>
  <si>
    <t>Pogresan izbor V otvora prese</t>
  </si>
  <si>
    <t>Pomak zadnjeg granicnika</t>
  </si>
  <si>
    <t>Karoserija</t>
  </si>
  <si>
    <t>Podsklopovi sklapanje</t>
  </si>
  <si>
    <t>Lučno zavarivanje</t>
  </si>
  <si>
    <t>Loši varovi</t>
  </si>
  <si>
    <t>Glavni sklopovi sklapanje</t>
  </si>
  <si>
    <t>Tačkasto zavarivanje</t>
  </si>
  <si>
    <t>Neusklađenost delova</t>
  </si>
  <si>
    <t>Zavarivanje i spajanje</t>
  </si>
  <si>
    <t>Lasersko zavarivanje</t>
  </si>
  <si>
    <t>Pogrešna geometrija</t>
  </si>
  <si>
    <t>Kontrola kvaliteta geometrije</t>
  </si>
  <si>
    <t>Nanošenje lepilla</t>
  </si>
  <si>
    <t>Oštećenje usled rukovanja</t>
  </si>
  <si>
    <t>Nanošenje zaptivnih masa</t>
  </si>
  <si>
    <t>Kriva ivica</t>
  </si>
  <si>
    <t>Merenje kordinata (CMM)</t>
  </si>
  <si>
    <t>Ogrebotina</t>
  </si>
  <si>
    <t>Zazor</t>
  </si>
  <si>
    <t>Lakirnica</t>
  </si>
  <si>
    <t>Zastita karoserije</t>
  </si>
  <si>
    <t>Odmašćivanje karoserije</t>
  </si>
  <si>
    <t>Mehurići u premazu</t>
  </si>
  <si>
    <t>Bojenje karoserije</t>
  </si>
  <si>
    <t>Pranje karoserije</t>
  </si>
  <si>
    <t>Pmorandzina kora</t>
  </si>
  <si>
    <t>Fosfatizacija</t>
  </si>
  <si>
    <t>Curenje boje</t>
  </si>
  <si>
    <t>KTL</t>
  </si>
  <si>
    <t>Cestice prašine u boji i laku</t>
  </si>
  <si>
    <t>Potapanje</t>
  </si>
  <si>
    <t>Nedovoljna debljina premaza</t>
  </si>
  <si>
    <t>Zaptivanje šavova</t>
  </si>
  <si>
    <t>Osnovna boja nanošenje</t>
  </si>
  <si>
    <t>Lak nanošenje</t>
  </si>
  <si>
    <t>Pečenje i sušenje</t>
  </si>
  <si>
    <t>Primer nanošenje</t>
  </si>
  <si>
    <t>Vizuelna kontrola</t>
  </si>
  <si>
    <t>Montaža</t>
  </si>
  <si>
    <t>Kompletiranje vozila finalno</t>
  </si>
  <si>
    <t>Ugradnja motora</t>
  </si>
  <si>
    <t>Nedostajuči delovi</t>
  </si>
  <si>
    <t>Ugradnja transmisije</t>
  </si>
  <si>
    <t>Pogrešna ugradnja</t>
  </si>
  <si>
    <t>Ugradnja hidraulike</t>
  </si>
  <si>
    <t>Greške u kalibraciji softvera</t>
  </si>
  <si>
    <t>Ugradnja pneumatike</t>
  </si>
  <si>
    <t>Oštećenje enterijera</t>
  </si>
  <si>
    <t>Spajanje karoserije išasije</t>
  </si>
  <si>
    <t>Oštećenje spoljašnosti</t>
  </si>
  <si>
    <t>Ugradnja enterijera</t>
  </si>
  <si>
    <t>Ugradnja točkova</t>
  </si>
  <si>
    <t>Punjenje tečnosti</t>
  </si>
  <si>
    <t>Programiranje elektronike</t>
  </si>
  <si>
    <t>ugradnja elektro instalacije</t>
  </si>
  <si>
    <t>Postavljanje stakala</t>
  </si>
  <si>
    <t>Podešavanje zazora</t>
  </si>
  <si>
    <t>Ulazna kontrola</t>
  </si>
  <si>
    <t>Verifikacija kvaliteta delova</t>
  </si>
  <si>
    <t>Audit dobavljača</t>
  </si>
  <si>
    <t>Neispravan materijal</t>
  </si>
  <si>
    <t>Verifikacija kvaliteta materijala</t>
  </si>
  <si>
    <t>Pogresan deo isporučen</t>
  </si>
  <si>
    <t>Merenje dimenzija materijala</t>
  </si>
  <si>
    <t>Nedostajuća dokumetacija</t>
  </si>
  <si>
    <t>Potvrda ispravnosti</t>
  </si>
  <si>
    <t>Laboratorijsko ispitivanje</t>
  </si>
  <si>
    <t>Oštećenje delova u transportu</t>
  </si>
  <si>
    <t>Provera prateće dokumentacije</t>
  </si>
  <si>
    <t>Završna kontrola</t>
  </si>
  <si>
    <t>Potvrda kvaliteta proizvoda</t>
  </si>
  <si>
    <t>Vizuelni pregled</t>
  </si>
  <si>
    <t>Funkcionalni kvarovi</t>
  </si>
  <si>
    <t>Test kočnica i svetala</t>
  </si>
  <si>
    <t>Estetski nedostaci</t>
  </si>
  <si>
    <t>Test vodonepropustivosti</t>
  </si>
  <si>
    <t xml:space="preserve">Curenje tečnosti </t>
  </si>
  <si>
    <t>Dijagnostika kvarova</t>
  </si>
  <si>
    <t>Neprolazak testa vodom</t>
  </si>
  <si>
    <t>Podešavanje geometrije trapa</t>
  </si>
  <si>
    <t>Neprolazak TDF testa</t>
  </si>
  <si>
    <t>TDF test</t>
  </si>
  <si>
    <t>Provera dokumentacije vozila</t>
  </si>
  <si>
    <t>PDI finalno odobrenje za transport</t>
  </si>
  <si>
    <t>Logistika</t>
  </si>
  <si>
    <t>Upravljanje protokom materijala</t>
  </si>
  <si>
    <t>Prijem sirovina</t>
  </si>
  <si>
    <t>Kašnjenje u isporuci</t>
  </si>
  <si>
    <t>Upravljanje gotovim vozilima</t>
  </si>
  <si>
    <t>Unutrašnji transport</t>
  </si>
  <si>
    <t>Netačan inventar</t>
  </si>
  <si>
    <t>Spoljašni transport</t>
  </si>
  <si>
    <t>Snabdevanje linije materijalom</t>
  </si>
  <si>
    <t>Oštećenje vozila u transportu</t>
  </si>
  <si>
    <t>Priprema vozila za transport</t>
  </si>
  <si>
    <t>Greške u sekvenciranju delova na liniji</t>
  </si>
  <si>
    <t>NAPOMENA</t>
  </si>
  <si>
    <t>Montaza</t>
  </si>
  <si>
    <t>SMENE</t>
  </si>
  <si>
    <t>SMENA</t>
  </si>
  <si>
    <t>POCETAK</t>
  </si>
  <si>
    <t>KRAJ</t>
  </si>
  <si>
    <t>Smena 1</t>
  </si>
  <si>
    <t>06:00</t>
  </si>
  <si>
    <t>14:00</t>
  </si>
  <si>
    <t>Smena 2</t>
  </si>
  <si>
    <t>22:00</t>
  </si>
  <si>
    <t>Smena 3</t>
  </si>
  <si>
    <t>KATEGORIJA</t>
  </si>
  <si>
    <t>PODKATEGORIJA</t>
  </si>
  <si>
    <t>Defekt</t>
  </si>
  <si>
    <t>OPIS</t>
  </si>
  <si>
    <t>LOS VAR</t>
  </si>
  <si>
    <t>Rupa u varu</t>
  </si>
  <si>
    <t>Otvor u zavarenom spoju</t>
  </si>
  <si>
    <t>Nema vara</t>
  </si>
  <si>
    <t>Nedostaje zavareni spoj</t>
  </si>
  <si>
    <t>Slab var</t>
  </si>
  <si>
    <t>Nedovoljna cvrstoca</t>
  </si>
  <si>
    <t>Prskanje</t>
  </si>
  <si>
    <t>Metalne kapljice oko vara</t>
  </si>
  <si>
    <t>Rasipanje</t>
  </si>
  <si>
    <t>Zazor veci od tolerancije</t>
  </si>
  <si>
    <t>ZAZOR</t>
  </si>
  <si>
    <t>Prevelik</t>
  </si>
  <si>
    <t>Zazor manji od tolerancije</t>
  </si>
  <si>
    <t>Premali</t>
  </si>
  <si>
    <t>Promenljiv zazor po obimu</t>
  </si>
  <si>
    <t>Nejednak</t>
  </si>
  <si>
    <t>Mehanicka ostecenja</t>
  </si>
  <si>
    <t>Van tolerancije</t>
  </si>
  <si>
    <t>Deformacija povrsine</t>
  </si>
  <si>
    <t>POVRSINA</t>
  </si>
  <si>
    <t>Korozija</t>
  </si>
  <si>
    <t>Udubljenje</t>
  </si>
  <si>
    <t>Opsta deformacija oblika</t>
  </si>
  <si>
    <t>Rdja</t>
  </si>
  <si>
    <t>Van dimenzionalne tolerancije</t>
  </si>
  <si>
    <t>Boja</t>
  </si>
  <si>
    <t>Prevelika</t>
  </si>
  <si>
    <t>Premala</t>
  </si>
  <si>
    <t>Neobradjena ivica</t>
  </si>
  <si>
    <t>Ovalnost</t>
  </si>
  <si>
    <t>Vizuelno iskrivljenje</t>
  </si>
  <si>
    <t>Konusnost</t>
  </si>
  <si>
    <t>Funkcionalna smetnja</t>
  </si>
  <si>
    <t>Deformacija</t>
  </si>
  <si>
    <t>Pogresno pozicioniranje</t>
  </si>
  <si>
    <t>DIMENZIJA</t>
  </si>
  <si>
    <t>Sirina</t>
  </si>
  <si>
    <t>Ugradjen krivi deo</t>
  </si>
  <si>
    <t>Duzina</t>
  </si>
  <si>
    <t>Ispod propisane tvrdoce</t>
  </si>
  <si>
    <t>Precnik</t>
  </si>
  <si>
    <t>Iznad propisane tvrdoce</t>
  </si>
  <si>
    <t>VIZUELNO</t>
  </si>
  <si>
    <t>Prljavo</t>
  </si>
  <si>
    <t>Ostecena ambalaza</t>
  </si>
  <si>
    <t>Ostra ivica</t>
  </si>
  <si>
    <t>Nedostaje komponenta</t>
  </si>
  <si>
    <t>Krivo</t>
  </si>
  <si>
    <t>Nijanse</t>
  </si>
  <si>
    <t>Mrlje</t>
  </si>
  <si>
    <t>Etiketa</t>
  </si>
  <si>
    <t>FUNKCIJA</t>
  </si>
  <si>
    <t>Ne radi</t>
  </si>
  <si>
    <t>Blokira</t>
  </si>
  <si>
    <t>Tesko radi</t>
  </si>
  <si>
    <t>Zaglavljuje</t>
  </si>
  <si>
    <t>Skripi</t>
  </si>
  <si>
    <t>MONTAZA</t>
  </si>
  <si>
    <t>Nedostaje deo</t>
  </si>
  <si>
    <t>Los polozaj</t>
  </si>
  <si>
    <t>Pogresan deo</t>
  </si>
  <si>
    <t>Krhko</t>
  </si>
  <si>
    <t>Mekano</t>
  </si>
  <si>
    <t>Tvrdo</t>
  </si>
  <si>
    <t>Nehomogeno</t>
  </si>
  <si>
    <t>MATERIJAL</t>
  </si>
  <si>
    <t>Pogresan</t>
  </si>
  <si>
    <t>PAKOVANJE</t>
  </si>
  <si>
    <t>Osteceno</t>
  </si>
  <si>
    <t>Pogresna etiketa</t>
  </si>
  <si>
    <t>Pogresno</t>
  </si>
  <si>
    <t>Visak</t>
  </si>
  <si>
    <t>OZNAKE</t>
  </si>
  <si>
    <t>Pogresna sifra</t>
  </si>
  <si>
    <t>Necitko</t>
  </si>
  <si>
    <t>Pogresan dokument</t>
  </si>
  <si>
    <t>Ostalo</t>
  </si>
  <si>
    <t>EKSTERIJER (Karoserija i Limarija)</t>
  </si>
  <si>
    <t>Prednji branik</t>
  </si>
  <si>
    <t>Loše poravnanje (zazor) sa krilima/farovima</t>
  </si>
  <si>
    <t>labav spoj</t>
  </si>
  <si>
    <t xml:space="preserve"> ogrebotine</t>
  </si>
  <si>
    <t>oštećenja plastike</t>
  </si>
  <si>
    <t>neispravne žabice</t>
  </si>
  <si>
    <t>Hauba</t>
  </si>
  <si>
    <t>Nejednak zazor levo/desno</t>
  </si>
  <si>
    <t>visinsko odstupanje u odnosu na krila</t>
  </si>
  <si>
    <t>oštećenja boje (tačke, prašina u laku)</t>
  </si>
  <si>
    <t>loše zatvaranje bravice.</t>
  </si>
  <si>
    <t>buka</t>
  </si>
  <si>
    <t>Levo prednje krilo</t>
  </si>
  <si>
    <t xml:space="preserve">Ogrebotine,, </t>
  </si>
  <si>
    <t xml:space="preserve"> ulubljenja (kontura)</t>
  </si>
  <si>
    <t>loš spoj sa pragom i A-stubom.</t>
  </si>
  <si>
    <t>Desno prednje krilo</t>
  </si>
  <si>
    <t>Leva prednja vrata</t>
  </si>
  <si>
    <t>Loš zazor/poravnanje, , , .</t>
  </si>
  <si>
    <t>zvuk škripanja pri otvaranju</t>
  </si>
  <si>
    <t>ogrebotine oko kvake</t>
  </si>
  <si>
    <t>loše nalepljena zaptivna guma (kedera)</t>
  </si>
  <si>
    <t>Desna prednja vrata</t>
  </si>
  <si>
    <t>Leva zadnja vrata</t>
  </si>
  <si>
    <t>provera bezbednosne brave za decu (Child lock).</t>
  </si>
  <si>
    <t>Desna zadnja vrata</t>
  </si>
  <si>
    <t>Loš zazor/poravnanje</t>
  </si>
  <si>
    <t>Zadnje levo krilo</t>
  </si>
  <si>
    <t>Deformacije lima</t>
  </si>
  <si>
    <t>prelazi boja na spojevima</t>
  </si>
  <si>
    <t>loš spoj sa C-stubom i branikom</t>
  </si>
  <si>
    <t>Zadnje desno krilo</t>
  </si>
  <si>
    <t>poklopac rezervoara/priključka za punjenje (labavost, zazor)</t>
  </si>
  <si>
    <t>Zadnji branik</t>
  </si>
  <si>
    <t xml:space="preserve"> Loše poravnanje sa svetlima i krilima, i.</t>
  </si>
  <si>
    <t>ogrebotine pri dnu,</t>
  </si>
  <si>
    <t xml:space="preserve"> labavi nosač</t>
  </si>
  <si>
    <t>Poklopac gepeka</t>
  </si>
  <si>
    <t xml:space="preserve">Teško zatvaranje,  </t>
  </si>
  <si>
    <t>neujednačen zazor sa svetlosnim grupama</t>
  </si>
  <si>
    <t>visinska odstupanja,</t>
  </si>
  <si>
    <t xml:space="preserve"> loše zaptivanje gume.</t>
  </si>
  <si>
    <t>Krov</t>
  </si>
  <si>
    <t>Talasi na limu</t>
  </si>
  <si>
    <t>oštećenja boje od transporta</t>
  </si>
  <si>
    <t>loš spoj krovnih lajsni ili panoramskog stakla</t>
  </si>
  <si>
    <t>STAKLENE POVRŠINE</t>
  </si>
  <si>
    <t>Vetrobran</t>
  </si>
  <si>
    <t>Pukotine (zvezdice)</t>
  </si>
  <si>
    <t>ogrebotine od brisača</t>
  </si>
  <si>
    <t xml:space="preserve"> loša aplikacija lepka (curenje vode)</t>
  </si>
  <si>
    <t>fabrički mehurići u staklu.</t>
  </si>
  <si>
    <t>Bočna stakla</t>
  </si>
  <si>
    <t xml:space="preserve">Ogrebotine od podizanja/spuštanja, </t>
  </si>
  <si>
    <t xml:space="preserve"> zazor pri zatvaranju (prolaz vazduha),</t>
  </si>
  <si>
    <t>oštećenja toniranog filma.</t>
  </si>
  <si>
    <t>ENTERIJER (Kabina)</t>
  </si>
  <si>
    <t>Instrument tabla</t>
  </si>
  <si>
    <t>Loš zazor na spojevima plastika,, , .</t>
  </si>
  <si>
    <t xml:space="preserve"> cvrčanje/škripa pri pritisku</t>
  </si>
  <si>
    <t>ogrebotine na mekim površinama</t>
  </si>
  <si>
    <t>loše uklopljen vazdušni jastuk suvozača</t>
  </si>
  <si>
    <t>Centralna konzola</t>
  </si>
  <si>
    <t>Labavost naslona za ruku, , ,.</t>
  </si>
  <si>
    <t>loš hod poklopaca/pregrada</t>
  </si>
  <si>
    <t>ogrebotine na sjajnim (Piano black) površinama</t>
  </si>
  <si>
    <t xml:space="preserve"> labava ručica menjača</t>
  </si>
  <si>
    <t>Sedište vozača</t>
  </si>
  <si>
    <t>Oštećenje šavova,, .</t>
  </si>
  <si>
    <t xml:space="preserve"> naborana koža/tkanina</t>
  </si>
  <si>
    <t>neispravan mehanizam pomeranja (ručni/elektro),</t>
  </si>
  <si>
    <t xml:space="preserve"> klimanje sedišta u šinama</t>
  </si>
  <si>
    <t>Sedište suvozača</t>
  </si>
  <si>
    <t>Zadnja sedišta</t>
  </si>
  <si>
    <t xml:space="preserve"> Loše fiksiran donji deo klupe,  </t>
  </si>
  <si>
    <t>problem sa preklapanjem naslona,</t>
  </si>
  <si>
    <t>oštećenja ISOFIX priključaka.</t>
  </si>
  <si>
    <t>Enterijer</t>
  </si>
  <si>
    <t xml:space="preserve">Oštećenja tapacirunga krova (nebo),   </t>
  </si>
  <si>
    <t>ogrebotine na oblogama stubova (A, B, C),</t>
  </si>
  <si>
    <t>labavi rukohvati na krovu,</t>
  </si>
  <si>
    <t>loše postavljeni tepisi/patosnice.</t>
  </si>
  <si>
    <t>FUNKCIONALNE ZONE I PODVOZJE</t>
  </si>
  <si>
    <t>Prtljažni prostor</t>
  </si>
  <si>
    <t xml:space="preserve">Labav pod gepeka, ,  </t>
  </si>
  <si>
    <t>oštećenje bočnih tapacirunga</t>
  </si>
  <si>
    <t>nedostatak prateće opreme (rezervni točak/kit, dizalica),</t>
  </si>
  <si>
    <t>neispravno svetlo gepeka.</t>
  </si>
  <si>
    <t>Motorni prostor</t>
  </si>
  <si>
    <t xml:space="preserve">Nizak nivo tečnosti (ulje, rashladna, kočiona), </t>
  </si>
  <si>
    <t xml:space="preserve"> labave obujmice creva</t>
  </si>
  <si>
    <t>nepravilno rutirani kablovi</t>
  </si>
  <si>
    <t>nedostatak plastičnih poklopaca.</t>
  </si>
  <si>
    <t>Elektrika</t>
  </si>
  <si>
    <t xml:space="preserve">Greška na instrument tabli, , , </t>
  </si>
  <si>
    <t>nefunkcionalan USB/12V priključak</t>
  </si>
  <si>
    <t>otkaz podizača prozora</t>
  </si>
  <si>
    <t>problem sa audio sistemom.</t>
  </si>
  <si>
    <t>Funkcionalni test</t>
  </si>
  <si>
    <t>Loš odziv multimedije (ekrana na dodir), , .</t>
  </si>
  <si>
    <t>neispravna klima/grejanje</t>
  </si>
  <si>
    <t>otkaz električne ručne kočnice</t>
  </si>
  <si>
    <t>Podvozje</t>
  </si>
  <si>
    <t xml:space="preserve">Curenje tečnosti na spojevima (menjač, karter), , , </t>
  </si>
  <si>
    <t>labave zaštitne plastike (šuspleh)</t>
  </si>
  <si>
    <t>korozija na spojevima</t>
  </si>
  <si>
    <t>loše zategnuti elementi oslanjanja.</t>
  </si>
  <si>
    <t>Točkovi i gume</t>
  </si>
  <si>
    <t>Ogrebotine na alu-felnama, ,</t>
  </si>
  <si>
    <t xml:space="preserve">pogrešan smer rotacije gume, </t>
  </si>
  <si>
    <t>nedovoljan pritisak</t>
  </si>
  <si>
    <t xml:space="preserve"> nedostatak kapica na ventilima.</t>
  </si>
  <si>
    <t>OSVETLJENJE, SIGNALIZACIJA I SENZORI</t>
  </si>
  <si>
    <t>Rasveta</t>
  </si>
  <si>
    <t xml:space="preserve">Kondenzacija (vlaga) unutar fara/stop svetla, , , </t>
  </si>
  <si>
    <t>nefunkcionalna LED traka</t>
  </si>
  <si>
    <t>loš intenzitet svetla</t>
  </si>
  <si>
    <t>neispravni migavci ili maglenke.</t>
  </si>
  <si>
    <t>Kamere i senzori</t>
  </si>
  <si>
    <t xml:space="preserve"> Labavost parking senzora (upali unutra), , </t>
  </si>
  <si>
    <t>prljava ili izgrebana sočiva kamera (rikverc/360)</t>
  </si>
  <si>
    <t>loša kalibracija radara.</t>
  </si>
  <si>
    <t>OSTALO</t>
  </si>
  <si>
    <t>Prljavština na vozilu,, , .</t>
  </si>
  <si>
    <t xml:space="preserve"> tragovi voska za zaštitu</t>
  </si>
  <si>
    <t>nedostajuće zaštitne folije</t>
  </si>
  <si>
    <t>nepravilna prateća dokumentacija u vozilu</t>
  </si>
  <si>
    <t>ID DELA*</t>
  </si>
  <si>
    <t>NAZIV DELA*</t>
  </si>
  <si>
    <t>KARAKTERISTIKA KONTROLE*</t>
  </si>
  <si>
    <t>LINIJA ID*</t>
  </si>
  <si>
    <t>MAŠINA ID*</t>
  </si>
  <si>
    <t>KOM ZA KONTROLU n*</t>
  </si>
  <si>
    <t>AKTIVAN</t>
  </si>
  <si>
    <t>5501-A</t>
  </si>
  <si>
    <t>Nosac</t>
  </si>
  <si>
    <t>Vizuelna kontrola vara i zazora</t>
  </si>
  <si>
    <t>Nosac_SOP.jpg</t>
  </si>
  <si>
    <t>DA</t>
  </si>
  <si>
    <t>Karoserija linija</t>
  </si>
  <si>
    <t>5502-A</t>
  </si>
  <si>
    <t>Osovina</t>
  </si>
  <si>
    <t>Vizuelna kontrola povrsine i montaze</t>
  </si>
  <si>
    <t>Osovina_SOP.jpg</t>
  </si>
  <si>
    <t>Preseraj linija</t>
  </si>
  <si>
    <t>5503-A</t>
  </si>
  <si>
    <t>Poklopac</t>
  </si>
  <si>
    <t>Kontrola zazora i brtvljenja</t>
  </si>
  <si>
    <t>Poklopac_SOP.jpg</t>
  </si>
  <si>
    <t>Montaza finalna</t>
  </si>
  <si>
    <t>5504-B</t>
  </si>
  <si>
    <t>Nosac motor</t>
  </si>
  <si>
    <t>Vizuelna i funkcionalna kontrola</t>
  </si>
  <si>
    <t>5505-B</t>
  </si>
  <si>
    <t>Konzola</t>
  </si>
  <si>
    <t>Kontrola vara i dimenzija</t>
  </si>
  <si>
    <t>AUTO-001</t>
  </si>
  <si>
    <t>Automobil-komplet</t>
  </si>
  <si>
    <t>Finalna vizuelna kontrola celog vozila</t>
  </si>
  <si>
    <t>Auto_final_SOP.jpg</t>
  </si>
  <si>
    <t>Koristiti za finalnu kontrolu</t>
  </si>
  <si>
    <t>SLIKA/CRTEZ</t>
  </si>
  <si>
    <t>NAZIV MASINE</t>
  </si>
  <si>
    <t>Masina M1</t>
  </si>
  <si>
    <t>Masina M2</t>
  </si>
  <si>
    <t>Masina M3</t>
  </si>
  <si>
    <t>MASINE</t>
  </si>
  <si>
    <t>KATALOG GRESAKA CELO VOZILO</t>
  </si>
  <si>
    <t>KATALOG GRESAKA</t>
  </si>
  <si>
    <t>SPC ATRIBUTIVNE — ŠIFRARNICI (ULAZNI PODACI)</t>
  </si>
  <si>
    <t>SPC ATRIBUTIVNE — DELOVI (ULAZNI PODACI)</t>
  </si>
  <si>
    <t>SPC ATRIBUTIVNE — RADNICI (ULAZNI PODACI)</t>
  </si>
  <si>
    <t>IME I PREZIME*</t>
  </si>
  <si>
    <t>ULOGA*</t>
  </si>
  <si>
    <t>EMAIL*</t>
  </si>
  <si>
    <t>SUPABASE USER_ID</t>
  </si>
  <si>
    <t>PETROVIC DRAGOMIR</t>
  </si>
  <si>
    <t>kontrolor</t>
  </si>
  <si>
    <t>petrovic@fabrika.rs</t>
  </si>
  <si>
    <t>(auto iz Supabase Auth)</t>
  </si>
  <si>
    <t>KIKA KON</t>
  </si>
  <si>
    <t>kika@fabrika.rs</t>
  </si>
  <si>
    <t>MIKA KON</t>
  </si>
  <si>
    <t>mika@fabrika.rs</t>
  </si>
  <si>
    <t>PERA OPERATER</t>
  </si>
  <si>
    <t>operator</t>
  </si>
  <si>
    <t>pera@fabrika.rs</t>
  </si>
  <si>
    <t>ADMIN</t>
  </si>
  <si>
    <t>admin</t>
  </si>
  <si>
    <t>admin@fabrika.rs</t>
  </si>
  <si>
    <t>Sistem administrator</t>
  </si>
  <si>
    <t>SPC ATRIBUTIVNE — RADNI NALOZI (ULAZNI PODACI)</t>
  </si>
  <si>
    <t>ℹ  CSV format za masovni uvoz: broj_naloga, id_deo, naziv_dela, kolicina, kupac, rok_isporuke</t>
  </si>
  <si>
    <t>NAZIV DELA</t>
  </si>
  <si>
    <t>KOLIČINA</t>
  </si>
  <si>
    <t>KUPAC</t>
  </si>
  <si>
    <t>DATUM UNOSA</t>
  </si>
  <si>
    <t>ROK ISPORUKE</t>
  </si>
  <si>
    <t>STATUS</t>
  </si>
  <si>
    <t>OPERATER</t>
  </si>
  <si>
    <t>RN-2024-001</t>
  </si>
  <si>
    <t>Kupac A</t>
  </si>
  <si>
    <t>2024-01-15</t>
  </si>
  <si>
    <t>2024-02-15</t>
  </si>
  <si>
    <t>aktivan</t>
  </si>
  <si>
    <t>RN-2024-002</t>
  </si>
  <si>
    <t>Kupac B</t>
  </si>
  <si>
    <t>2024-01-16</t>
  </si>
  <si>
    <t>2024-02-20</t>
  </si>
  <si>
    <t>Hitna isporuka</t>
  </si>
  <si>
    <t>RN-2024-003</t>
  </si>
  <si>
    <t>2024-01-20</t>
  </si>
  <si>
    <t>2024-03-01</t>
  </si>
  <si>
    <t>SPC ATRIBUTIVNE — UNOS MERENJA (ULAZNI TRANSAKCIONI PODACI)</t>
  </si>
  <si>
    <t>DATUM*</t>
  </si>
  <si>
    <t>SMENA* 1/2/3</t>
  </si>
  <si>
    <t>RADNI NALOG*</t>
  </si>
  <si>
    <t>ID DELA* (BARKOD)</t>
  </si>
  <si>
    <t>MAŠINA</t>
  </si>
  <si>
    <t>OPERATER*</t>
  </si>
  <si>
    <t>KONTROLOR*</t>
  </si>
  <si>
    <t>STATUS* OK/NOK</t>
  </si>
  <si>
    <t>KATEGORIJA GREŠKE</t>
  </si>
  <si>
    <t>KOL. NOK</t>
  </si>
  <si>
    <t>KOMENTAR</t>
  </si>
  <si>
    <t>VREME UNOSA</t>
  </si>
  <si>
    <t>PERA</t>
  </si>
  <si>
    <t>PETROVIC D.</t>
  </si>
  <si>
    <t>OK</t>
  </si>
  <si>
    <t>2024-01-15 08:15</t>
  </si>
  <si>
    <t>NOK</t>
  </si>
  <si>
    <t>Alat istrosen</t>
  </si>
  <si>
    <t>2024-01-15 08:32</t>
  </si>
  <si>
    <t>2024-01-15 08:45</t>
  </si>
  <si>
    <t>2024-01-15 14:20</t>
  </si>
  <si>
    <t>Materijal los</t>
  </si>
  <si>
    <t>2024-01-15 14:38</t>
  </si>
  <si>
    <t>SPC ATRIBUTIVNE — KONTROLNI LOG (IZLAZNA TABELA — SUPABASE)</t>
  </si>
  <si>
    <t>ℹ  Ovo je glavna transakciona tabela. Svaki red = jedan unos kontrole. Automatski popunjava baza.</t>
  </si>
  <si>
    <t>DATUM</t>
  </si>
  <si>
    <t>RADNI NALOG</t>
  </si>
  <si>
    <t>ID DELA</t>
  </si>
  <si>
    <t>LINIJA ID</t>
  </si>
  <si>
    <t>MASINA ID</t>
  </si>
  <si>
    <t>KONTROLOR ID</t>
  </si>
  <si>
    <t>OPERATER ID</t>
  </si>
  <si>
    <t>KOM NOK</t>
  </si>
  <si>
    <t>OK KOL.</t>
  </si>
  <si>
    <t>NOK KOL.</t>
  </si>
  <si>
    <t>UKUPNO n</t>
  </si>
  <si>
    <t>-</t>
  </si>
  <si>
    <t>SPC ATRIBUTIVNE — REZULTATI SPC KARATA (IZLAZNI PODACI)</t>
  </si>
  <si>
    <t>ℹ  Ove vrednosti se automatski računaju u Supabase views i prikazuju na grafovima.</t>
  </si>
  <si>
    <t>FORMULE SPC KARATA — REFERENTNA TABELA</t>
  </si>
  <si>
    <t>TIP KARTE</t>
  </si>
  <si>
    <t>FORMULA CL</t>
  </si>
  <si>
    <t>FORMULA UCL</t>
  </si>
  <si>
    <t>FORMULA LCL</t>
  </si>
  <si>
    <t>n</t>
  </si>
  <si>
    <t>PRIMENA</t>
  </si>
  <si>
    <t>p-karta</t>
  </si>
  <si>
    <t>p̄ = Σ(NOKi) / Σ(ni)</t>
  </si>
  <si>
    <t>p̄ + 3·√(p̄·(1-p̄)/n)</t>
  </si>
  <si>
    <t>max(0, p̄ - 3·√(p̄·(1-p̄)/n))</t>
  </si>
  <si>
    <t>var</t>
  </si>
  <si>
    <t>Promenljivo n, proporcija NOK</t>
  </si>
  <si>
    <t>np-karta</t>
  </si>
  <si>
    <t>n·p̄  (n̄ = konstantno n)</t>
  </si>
  <si>
    <t>n·p̄ + 3·√(n·p̄·(1-p̄))</t>
  </si>
  <si>
    <t>max(0, n·p̄ - 3·√(n·p̄·(1-p̄)))</t>
  </si>
  <si>
    <t>konst</t>
  </si>
  <si>
    <t>Konstantno n, broj NOK komada</t>
  </si>
  <si>
    <t>C-karta</t>
  </si>
  <si>
    <t>c̄ = Σci / k</t>
  </si>
  <si>
    <t>c̄ + 3·√c̄</t>
  </si>
  <si>
    <t>max(0, c̄ - 3·√c̄)</t>
  </si>
  <si>
    <t>Konstantno n, broj grešaka/podgrupi</t>
  </si>
  <si>
    <t>nC-karta</t>
  </si>
  <si>
    <t>Konstantno n, ukupne greške perioda</t>
  </si>
  <si>
    <t>u-karta</t>
  </si>
  <si>
    <t>ū = Σci / Σni</t>
  </si>
  <si>
    <t>ū + 3·√(ū/n)</t>
  </si>
  <si>
    <t>max(0, ū - 3·√(ū/n))</t>
  </si>
  <si>
    <t>Promenljivo n, greške po komadu</t>
  </si>
  <si>
    <t>p-KARTA — PRIMER PODATAKA (view_p_karta)</t>
  </si>
  <si>
    <t>n UZORKA</t>
  </si>
  <si>
    <t>p = NOK/n</t>
  </si>
  <si>
    <t>p̄ CL</t>
  </si>
  <si>
    <t>UCL</t>
  </si>
  <si>
    <t>LCL</t>
  </si>
  <si>
    <t>VAN KONTR.</t>
  </si>
  <si>
    <t>WE PRAVILO</t>
  </si>
  <si>
    <t>NE</t>
  </si>
  <si>
    <t>2024-01-17</t>
  </si>
  <si>
    <t>P1: Van UCL</t>
  </si>
  <si>
    <t>2024-01-18</t>
  </si>
  <si>
    <t>P1+P3: Van+Trend</t>
  </si>
  <si>
    <t>ℹ  WE Pravila: P1=van UCL/LCL | P2=9 uzastopnih iste strane | P3=6 u trendu | P4=2/3 van 2σ</t>
  </si>
  <si>
    <t>PARETO ANALIZA GREŠAKA</t>
  </si>
  <si>
    <t>DPMO I SIGMA NIVO</t>
  </si>
  <si>
    <t>RANG</t>
  </si>
  <si>
    <t>BROJ</t>
  </si>
  <si>
    <t>% UKUPNO</t>
  </si>
  <si>
    <t>KUMULATIV %</t>
  </si>
  <si>
    <t>80/20</t>
  </si>
  <si>
    <t>PRIORITET</t>
  </si>
  <si>
    <t>KOREKTIVNA AKCIJA</t>
  </si>
  <si>
    <t>ODGOVORNI</t>
  </si>
  <si>
    <t>PERIOD</t>
  </si>
  <si>
    <t>MERENO n</t>
  </si>
  <si>
    <t>DPMO</t>
  </si>
  <si>
    <t>RTY %</t>
  </si>
  <si>
    <t>SIGMA NIVO</t>
  </si>
  <si>
    <t>CILJ DPMO</t>
  </si>
  <si>
    <t>TREND</t>
  </si>
  <si>
    <t>KRITICNO — odmah</t>
  </si>
  <si>
    <t>Zamena elektrode svaka 500 vara</t>
  </si>
  <si>
    <t>Jan 2024</t>
  </si>
  <si>
    <t>~3.5σ</t>
  </si>
  <si>
    <t>IZNAD</t>
  </si>
  <si>
    <t>Pogoršanje</t>
  </si>
  <si>
    <t>VISOKO</t>
  </si>
  <si>
    <t>Plan poboljsanja</t>
  </si>
  <si>
    <t>~3.8σ</t>
  </si>
  <si>
    <t>Stabilan</t>
  </si>
  <si>
    <t>Provera alata</t>
  </si>
  <si>
    <t>~4.1σ</t>
  </si>
  <si>
    <t>Poboljšanje</t>
  </si>
  <si>
    <t>SREDNJE</t>
  </si>
  <si>
    <t>Rukovanje materijalom</t>
  </si>
  <si>
    <t>Provera drzaca</t>
  </si>
  <si>
    <t>NISKO</t>
  </si>
  <si>
    <t>Obrada ivica</t>
  </si>
  <si>
    <t>Provera fiksatora</t>
  </si>
  <si>
    <t>SPC ATRIBUTIVNE — ANALIZA (IZLAZNI PODACI)</t>
  </si>
  <si>
    <t>PO SMENI</t>
  </si>
  <si>
    <t>PO MAŠINI</t>
  </si>
  <si>
    <t>PO OPERATERU / KONTROLORU</t>
  </si>
  <si>
    <t>MERENO</t>
  </si>
  <si>
    <t>TOP GRESKA</t>
  </si>
  <si>
    <t>MASINA</t>
  </si>
  <si>
    <t>KORELACIJA GRESKA</t>
  </si>
  <si>
    <t>IME</t>
  </si>
  <si>
    <t>ULOGA</t>
  </si>
  <si>
    <t>KALIBRACIJA</t>
  </si>
  <si>
    <t>LOS VAR 60%, ZAZOR 40%</t>
  </si>
  <si>
    <t>Mikrometar — OK</t>
  </si>
  <si>
    <t>POVRSINA 80%</t>
  </si>
  <si>
    <t>Cigra — USKORO</t>
  </si>
  <si>
    <t>ZAZOR 70%</t>
  </si>
  <si>
    <t>Trend rasta</t>
  </si>
  <si>
    <t>Pomicno — OK</t>
  </si>
  <si>
    <t>ESKALACIJE</t>
  </si>
  <si>
    <t>OPIS PROBLEMA</t>
  </si>
  <si>
    <t>KREIRAO</t>
  </si>
  <si>
    <t>DODELJEN</t>
  </si>
  <si>
    <t>ROK</t>
  </si>
  <si>
    <t>ZATVOREN</t>
  </si>
  <si>
    <t>DANA</t>
  </si>
  <si>
    <t>UCL probijen — LOS VAR 5x za 3 dana</t>
  </si>
  <si>
    <t>KRITICNO</t>
  </si>
  <si>
    <t>otvoren</t>
  </si>
  <si>
    <t>Zamena elektrode</t>
  </si>
  <si>
    <t>Trend rasta NOK na Masini M3</t>
  </si>
  <si>
    <t>VISOK</t>
  </si>
  <si>
    <t>u_toku</t>
  </si>
  <si>
    <t>Admin</t>
  </si>
  <si>
    <t>2024-01-25</t>
  </si>
  <si>
    <t>Pregled geometrije alata</t>
  </si>
  <si>
    <t>DPMO &gt; 50000 u januaru</t>
  </si>
  <si>
    <t>SREDNJI</t>
  </si>
  <si>
    <t>zatvoren</t>
  </si>
  <si>
    <t>Kalibracija merila</t>
  </si>
  <si>
    <t>8D IZVEŠTAJ — STRUKTURA I PRIMER</t>
  </si>
  <si>
    <t>KORAK</t>
  </si>
  <si>
    <t>NAZIV</t>
  </si>
  <si>
    <t>Tim</t>
  </si>
  <si>
    <t>Clanovi tima, funkcije, voditelj, sponzor</t>
  </si>
  <si>
    <t>Tim: P.Dragomir (vodja), K.Kon (kontrola), M.Kon (masina), Menadzer (sponzor)</t>
  </si>
  <si>
    <t>Opis problema</t>
  </si>
  <si>
    <t>Ko, sta, kada, gde, koliko, trend</t>
  </si>
  <si>
    <t>UCL probijen na p-karti za 5501-A, Smena 1, LOS VAR, 5/30 NOK dana 15.1.</t>
  </si>
  <si>
    <t>Privremena akcija</t>
  </si>
  <si>
    <t>Sta je uradjeno odmah da zasti kupca</t>
  </si>
  <si>
    <t>100% vizuelna kontrola, povecati n uzorak na 50, segregacija sumnjive serije</t>
  </si>
  <si>
    <t>Uzrok (5x Zasto)</t>
  </si>
  <si>
    <t>Analiza korena uzroka</t>
  </si>
  <si>
    <t>Zasto? Rupa u varu → elektroda istrosena → nije zamenjena na vreme → nema plana PM</t>
  </si>
  <si>
    <t>Korektivna akcija</t>
  </si>
  <si>
    <t>Sta eliminise uzrok</t>
  </si>
  <si>
    <t>Uvesti plan zamene elektrode na svakih 500 zavara, provera svake smene</t>
  </si>
  <si>
    <t>Implementacija</t>
  </si>
  <si>
    <t>Ko, sta, do kada</t>
  </si>
  <si>
    <t>Prevencija</t>
  </si>
  <si>
    <t>Kako spreciti u buducnosti</t>
  </si>
  <si>
    <t>Dodati u SPC plan, auto alarm pri 400 zavara, godisnji pregled opreme</t>
  </si>
  <si>
    <t>Zakljucak</t>
  </si>
  <si>
    <t>Tim doprinos i cestitke</t>
  </si>
  <si>
    <t>Tim resio problem za 7 dana, DPMO smanjen 167000→33000, implementacija u STD</t>
  </si>
  <si>
    <t>SPC ATRIBUTIVNE — KALIBRACIJA MERILA (ULAZNI + IZLAZNI)</t>
  </si>
  <si>
    <t>ℹ  Upozorenje 30 dana pred istek. Crveno = isteklo, Zuto = uskoro, Zeleno = OK.</t>
  </si>
  <si>
    <t>NAZIV MERILA</t>
  </si>
  <si>
    <t>SERIJSKI BR.</t>
  </si>
  <si>
    <t>TIP</t>
  </si>
  <si>
    <t>LOKACIJA</t>
  </si>
  <si>
    <t>OPSEG</t>
  </si>
  <si>
    <t>DATUM KAL.</t>
  </si>
  <si>
    <t>SLEDECA KAL.</t>
  </si>
  <si>
    <t>IZVRSIO</t>
  </si>
  <si>
    <t>CERT BR.</t>
  </si>
  <si>
    <t>REZULTAT</t>
  </si>
  <si>
    <t>Mikrometar 0-25mm</t>
  </si>
  <si>
    <t>MK-001</t>
  </si>
  <si>
    <t>Mikrometar</t>
  </si>
  <si>
    <t>Linija Karoserija</t>
  </si>
  <si>
    <t>0-25mm</t>
  </si>
  <si>
    <t>2024-01-05</t>
  </si>
  <si>
    <t>2025-01-05</t>
  </si>
  <si>
    <t>Lab Kalibracija</t>
  </si>
  <si>
    <t>CAL-2024-001</t>
  </si>
  <si>
    <t>prolaz</t>
  </si>
  <si>
    <t>Pomicno merilo</t>
  </si>
  <si>
    <t>POM-002</t>
  </si>
  <si>
    <t>Pomicno</t>
  </si>
  <si>
    <t>0-150mm</t>
  </si>
  <si>
    <t>2023-12-15</t>
  </si>
  <si>
    <t>2024-12-15</t>
  </si>
  <si>
    <t>CAL-2023-098</t>
  </si>
  <si>
    <t>USKORO 25d</t>
  </si>
  <si>
    <t>Cigra 0.01mm</t>
  </si>
  <si>
    <t>CIG-003</t>
  </si>
  <si>
    <t>Cigra</t>
  </si>
  <si>
    <t>0-10mm</t>
  </si>
  <si>
    <t>2023-06-01</t>
  </si>
  <si>
    <t>2024-06-01</t>
  </si>
  <si>
    <t>Interni</t>
  </si>
  <si>
    <t>INT-2023-012</t>
  </si>
  <si>
    <t>uslovni</t>
  </si>
  <si>
    <t>ISTEKLO</t>
  </si>
  <si>
    <t>SPC ATRIBUTIVNE — CILJEVI KVALITETA (ULAZNI + IZLAZNI)</t>
  </si>
  <si>
    <t>RTY CILJ %</t>
  </si>
  <si>
    <t>DPMO CILJ</t>
  </si>
  <si>
    <t>p CILJ %</t>
  </si>
  <si>
    <t>VAZI OD</t>
  </si>
  <si>
    <t>RTY OSTVARENO</t>
  </si>
  <si>
    <t>DPMO OSTVARENO</t>
  </si>
  <si>
    <t>p OSTVARENO</t>
  </si>
  <si>
    <t>STATUS RTY</t>
  </si>
  <si>
    <t>STATUS DPMO</t>
  </si>
  <si>
    <t>2024-01-01</t>
  </si>
  <si>
    <t>ISPOD</t>
  </si>
  <si>
    <t>Pogorsanje</t>
  </si>
  <si>
    <t>Blizu</t>
  </si>
  <si>
    <t>Poboljsanje</t>
  </si>
  <si>
    <t>SPC ATRIBUTIVNE — BARKOD/QR SKENIRANJE (IMPLEMENTACIJA)</t>
  </si>
  <si>
    <t>ℹ  Ova tabela objašnjava kako barkod čitač popunjava podatke u web aplikaciji.</t>
  </si>
  <si>
    <t>KAKO RADI BARKOD/QR SKENIRANJE</t>
  </si>
  <si>
    <t>AKCIJA</t>
  </si>
  <si>
    <t>TEHNICKO OBJASNJENJE</t>
  </si>
  <si>
    <t>PRIMER</t>
  </si>
  <si>
    <t>Operater skenira deo</t>
  </si>
  <si>
    <t>USB/Bluetooth skener šalje vrednost kao tastaturni unos</t>
  </si>
  <si>
    <t>Skener čita: '5501-A' → šalje kao text → Enter</t>
  </si>
  <si>
    <t>Implementirano</t>
  </si>
  <si>
    <t>App detektuje skeniranje</t>
  </si>
  <si>
    <t>Hook detektuje brzo kucanje (&gt;8 znakova/100ms = skener)</t>
  </si>
  <si>
    <t>Normal typing = sporo, skener = instant → razlika</t>
  </si>
  <si>
    <t>Auto-lookup dela</t>
  </si>
  <si>
    <t>Sistem traži ID u tabeli delovi, vraća sve podatke</t>
  </si>
  <si>
    <t>5501-A → Nosac, Linija Karoserija, Masina M1, n=30</t>
  </si>
  <si>
    <t>Popunjava formu</t>
  </si>
  <si>
    <t>Naziv, linija, mašina, kontrolor se automatski pune</t>
  </si>
  <si>
    <t>Operater vidi zelena polja — automatski popunjeno</t>
  </si>
  <si>
    <t>Scan istorije grešaka</t>
  </si>
  <si>
    <t>Traži najčešće greške za ovaj ID u posled. 30 dana</t>
  </si>
  <si>
    <t>Upozorenje: LOS VAR 5x — proveri elektrodu</t>
  </si>
  <si>
    <t>QR na radnom nalogu</t>
  </si>
  <si>
    <t>QR kod može sadržavati i RN+ID+datum+smenu</t>
  </si>
  <si>
    <t>Format: RN-2024-001|5501-A|2024-01-15|1</t>
  </si>
  <si>
    <t>Planirano</t>
  </si>
  <si>
    <t>NFC tag na paletama</t>
  </si>
  <si>
    <t>NFC skeniranje ID dela + radnog naloga</t>
  </si>
  <si>
    <t>Dodir telefona na NFC tag → auto-unos svih polja</t>
  </si>
  <si>
    <t>Buduci razvoj</t>
  </si>
  <si>
    <t>QR KOD FORMAT — PREPORUKA</t>
  </si>
  <si>
    <t>FORMAT</t>
  </si>
  <si>
    <t>PRIMER QR SADRZAJA</t>
  </si>
  <si>
    <t>POLJA</t>
  </si>
  <si>
    <t>SEPARATOR</t>
  </si>
  <si>
    <t>Samo ID dela</t>
  </si>
  <si>
    <t>id_deo</t>
  </si>
  <si>
    <t>Direktno — najjednostavnije</t>
  </si>
  <si>
    <t>ID dela + RN</t>
  </si>
  <si>
    <t>5501-A|RN-2024-001</t>
  </si>
  <si>
    <t>id_deo|radni_nalog</t>
  </si>
  <si>
    <t>Pipe separator</t>
  </si>
  <si>
    <t>Kompletni format</t>
  </si>
  <si>
    <t>5501-A|RN-2024-001|2024-01-15|1</t>
  </si>
  <si>
    <t>id_deo|nalog|datum|smena</t>
  </si>
  <si>
    <t>JSON format</t>
  </si>
  <si>
    <t>{"id":"5501-A","rn":"RN-001","smena":1}</t>
  </si>
  <si>
    <t>JSON polja</t>
  </si>
  <si>
    <t>Za naprednu implementaciju</t>
  </si>
  <si>
    <t>KONTROLA AUTOMOBILA — STRUKTURA</t>
  </si>
  <si>
    <t>PRISTUP</t>
  </si>
  <si>
    <t>PREDNOSTI</t>
  </si>
  <si>
    <t>MANE</t>
  </si>
  <si>
    <t>PREPORUKA</t>
  </si>
  <si>
    <t>A) Ceo automobil kao 1 deo</t>
  </si>
  <si>
    <t>Jedan ID: AUTO-001, kontrola finalne linije, NOK = celi auto</t>
  </si>
  <si>
    <t>Jednostavno, brzo, malo podataka, lako za operatera</t>
  </si>
  <si>
    <t>Nema detalja gde je greška, teška analiza uzroka, RTY na nivou vozila</t>
  </si>
  <si>
    <t>B) Po sklopovima (preporuka)</t>
  </si>
  <si>
    <t>ID: KAROS-001, MOTOR-001, MONTAZA-001... Svaki sklop = zaseban SPC</t>
  </si>
  <si>
    <t>Detaljna analiza po sistemu, lako locirati problem, realni DPMO</t>
  </si>
  <si>
    <t>Više unosa, potrebno jasno definisati karakteristike po sklopu</t>
  </si>
  <si>
    <t>C) Po operacijama</t>
  </si>
  <si>
    <t>ID = operacija: OP10-ZAVAR, OP20-SKLOP... Prati tok procesa</t>
  </si>
  <si>
    <t>Direktno prati tok proizvodnje, vidljiv uzrok odmah</t>
  </si>
  <si>
    <t>Može biti previše granularno, kompleksna analiza</t>
  </si>
  <si>
    <t>ZA NAPREDNU UPOTREBU</t>
  </si>
  <si>
    <t>D) Hibridni model</t>
  </si>
  <si>
    <t>Sklop-level SPC + Finalna kontrola celog vozila kao check</t>
  </si>
  <si>
    <t>Detalji + Celina, dobre karte i na sklopu i na vozilu</t>
  </si>
  <si>
    <t>Najkompleksnija implementacija, više šifrarnika</t>
  </si>
  <si>
    <t>OPTIMALNO</t>
  </si>
  <si>
    <t>PREPORUČENA ŠEMA ZA AUTOMOBIL</t>
  </si>
  <si>
    <t>ID DELA / SKLOP</t>
  </si>
  <si>
    <t>KARAKTERISTIKE KONTROLE</t>
  </si>
  <si>
    <t>n UZORAK</t>
  </si>
  <si>
    <t>KAROS-001</t>
  </si>
  <si>
    <t>Karoserija — varovi</t>
  </si>
  <si>
    <t>LOS VAR (vrste i kvalitet), ZAZOR (vrata, poklopci)</t>
  </si>
  <si>
    <t>100% vizuelna</t>
  </si>
  <si>
    <t>KAROS-002</t>
  </si>
  <si>
    <t>Karoserija — geometrija</t>
  </si>
  <si>
    <t>Dimenzionalna kontrola CMM: dijagonale, otvori</t>
  </si>
  <si>
    <t>Uzorak 1/serija</t>
  </si>
  <si>
    <t>MOTOR-001</t>
  </si>
  <si>
    <t>Motor — sklop</t>
  </si>
  <si>
    <t>Funkcionalna kontrola, curenje ulja, buka</t>
  </si>
  <si>
    <t>Svaki 3.</t>
  </si>
  <si>
    <t>MOTOR-002</t>
  </si>
  <si>
    <t>Motor — montaza</t>
  </si>
  <si>
    <t>Vizuelna kontrola kablova, cevi, pricvrscenosti</t>
  </si>
  <si>
    <t>TRANS-001</t>
  </si>
  <si>
    <t>Transmisija</t>
  </si>
  <si>
    <t>Ulje, buka pri probi, pricvrstaci</t>
  </si>
  <si>
    <t>INT-001</t>
  </si>
  <si>
    <t>Zazori obloga, funkcija opreme, estetika</t>
  </si>
  <si>
    <t>Uzorak 5</t>
  </si>
  <si>
    <t>EL-001</t>
  </si>
  <si>
    <t>Funkcionalna kontrola svetla, senzori, sistem</t>
  </si>
  <si>
    <t>FINAL-001</t>
  </si>
  <si>
    <t>Finalna kontrola vozila</t>
  </si>
  <si>
    <t>Opsta vizuelna + funkcionalna, sve sisteme</t>
  </si>
  <si>
    <t>100% vozila</t>
  </si>
  <si>
    <t>ℹ  PREPORUKA: Koristiti pristup B (po sklopovima) + FINAL-001 za ukupni vozilo-level SPC.</t>
  </si>
  <si>
    <t>SPC ATRIBUTIVNE — SUPABASE TABELE REFERENCA</t>
  </si>
  <si>
    <t>ℹ  Kompletna šema baze podataka. Tabele su označene tipom: U=Ulazni, I=Izlazni, T=Transakcioni, S=Šifrarnik.</t>
  </si>
  <si>
    <t>TABELA</t>
  </si>
  <si>
    <t>KLJUCNE KOLONE</t>
  </si>
  <si>
    <t>FK VEZE</t>
  </si>
  <si>
    <t>SVRHA</t>
  </si>
  <si>
    <t>EXCEL SHEET</t>
  </si>
  <si>
    <t>RLS</t>
  </si>
  <si>
    <t>linije</t>
  </si>
  <si>
    <t>S</t>
  </si>
  <si>
    <t>id, linija, proces, operacija</t>
  </si>
  <si>
    <t>—</t>
  </si>
  <si>
    <t>Lookup linije/procesi/operacije</t>
  </si>
  <si>
    <t>1_SIFRARNICI</t>
  </si>
  <si>
    <t>masine</t>
  </si>
  <si>
    <t>id, naziv</t>
  </si>
  <si>
    <t>Lookup masine</t>
  </si>
  <si>
    <t>smene</t>
  </si>
  <si>
    <t>Lookup smene</t>
  </si>
  <si>
    <t>greske_katalog</t>
  </si>
  <si>
    <t>id, kategorija, podkategorija</t>
  </si>
  <si>
    <t>Katalog tipova gresaka</t>
  </si>
  <si>
    <t>kupci</t>
  </si>
  <si>
    <t>id, naziv, kontakt, email</t>
  </si>
  <si>
    <t>Lista kupaca</t>
  </si>
  <si>
    <t>4_RADNI_NALOZI</t>
  </si>
  <si>
    <t>radnici</t>
  </si>
  <si>
    <t>U</t>
  </si>
  <si>
    <t>id, ime, uloga, user_id</t>
  </si>
  <si>
    <t>auth.users</t>
  </si>
  <si>
    <t>Operateri i kontrolori</t>
  </si>
  <si>
    <t>3_RADNICI</t>
  </si>
  <si>
    <t>user_id iz Supabase Auth</t>
  </si>
  <si>
    <t>delovi</t>
  </si>
  <si>
    <t>id_deo, naziv_dela, linija_id, masina_id, kom_za_kontrolu, slika_naziv</t>
  </si>
  <si>
    <t>linije, masine</t>
  </si>
  <si>
    <t>Definicija delova — BEZ LSL/USL!</t>
  </si>
  <si>
    <t>2_DELOVI</t>
  </si>
  <si>
    <t>Barkod = id_deo</t>
  </si>
  <si>
    <t>radni_nalozi_lista</t>
  </si>
  <si>
    <t>broj_naloga, id_deo, kolicina, kupac, rok</t>
  </si>
  <si>
    <t>Evidencija radnih naloga</t>
  </si>
  <si>
    <t>CSV uvoz</t>
  </si>
  <si>
    <t>kontrolna_lista_stavke</t>
  </si>
  <si>
    <t>id, kategorija, stavka, redosled</t>
  </si>
  <si>
    <t>Checklist pre smene — stavke</t>
  </si>
  <si>
    <t>Admin konfig</t>
  </si>
  <si>
    <t>kontrolna_lista_log</t>
  </si>
  <si>
    <t>T</t>
  </si>
  <si>
    <t>id, radnik_id, smena, datum, stavke_json</t>
  </si>
  <si>
    <t>Popunjeni checklisti</t>
  </si>
  <si>
    <t>JSON polje</t>
  </si>
  <si>
    <t>kontrolni_log</t>
  </si>
  <si>
    <t>T*</t>
  </si>
  <si>
    <t>id, datum, smena, radni_nalog, id_deo, naziv_dela, linija_id, masina_id, kontrolor_id, status, greska_naziv, podkategorija, kom_nok, ok_kolicina, nok_kolicina, ukupno_merenja, komentar</t>
  </si>
  <si>
    <t>delovi, linije, masine, radnici</t>
  </si>
  <si>
    <t>GLAVNA TABELA MERENJA</t>
  </si>
  <si>
    <t>5_UNOS / 6_LOG</t>
  </si>
  <si>
    <t>T*=Kljucna tabela</t>
  </si>
  <si>
    <t>ciljevi</t>
  </si>
  <si>
    <t>id, id_deo, rty_cilj, dpmo_cilj, p_cilj, vazi_od</t>
  </si>
  <si>
    <t>Ciljevi kvaliteta po delu</t>
  </si>
  <si>
    <t>12_CILJEVI</t>
  </si>
  <si>
    <t>merila</t>
  </si>
  <si>
    <t>id, naziv, serijski_broj, tip, lokacija</t>
  </si>
  <si>
    <t>Merni instrumenti</t>
  </si>
  <si>
    <t>11_KALIBRACIJA</t>
  </si>
  <si>
    <t>kalibracije</t>
  </si>
  <si>
    <t>id, merilo_id, datum_kal, sledeca_kal, rezultat, sertifikat_br</t>
  </si>
  <si>
    <t>Istorija kalibracija</t>
  </si>
  <si>
    <t>eskalacije</t>
  </si>
  <si>
    <t>id, id_deo, opis, prioritet, status, kreirao_id, dodeljen_id, rok</t>
  </si>
  <si>
    <t>delovi, radnici</t>
  </si>
  <si>
    <t>Eskalacioni zadaci</t>
  </si>
  <si>
    <t>10_ESKALACIJE_8D</t>
  </si>
  <si>
    <t>osmD_izvestaji</t>
  </si>
  <si>
    <t>id, id_deo, d1-d8 polja, status</t>
  </si>
  <si>
    <t>8D izvestaji</t>
  </si>
  <si>
    <t>prekidi_zahtevi</t>
  </si>
  <si>
    <t>id, operater_id, id_deo, preostalo, razlog, status</t>
  </si>
  <si>
    <t>Zahtevi za prekid serije</t>
  </si>
  <si>
    <t>Real-time admin</t>
  </si>
  <si>
    <t>SUPABASE VIEWS (automatske kalkulacije)</t>
  </si>
  <si>
    <t>VIEW</t>
  </si>
  <si>
    <t>view_p_karta</t>
  </si>
  <si>
    <t>p̄ = ΣNOK/Σn</t>
  </si>
  <si>
    <t>p̄+3√(p̄(1-p̄)/n)</t>
  </si>
  <si>
    <t>p-karta podaci za grafove</t>
  </si>
  <si>
    <t>view_np_karta</t>
  </si>
  <si>
    <t>np̄ = p̄×n̄</t>
  </si>
  <si>
    <t>np̄+3√(np̄(1-p̄))</t>
  </si>
  <si>
    <t>np-karta podaci</t>
  </si>
  <si>
    <t>view_c_karta</t>
  </si>
  <si>
    <t>c̄ = Σc/k</t>
  </si>
  <si>
    <t>c̄+3√c̄</t>
  </si>
  <si>
    <t>C-karta podaci</t>
  </si>
  <si>
    <t>view_u_karta</t>
  </si>
  <si>
    <t>ū = Σc/Σn</t>
  </si>
  <si>
    <t>ū+3√(ū/n)</t>
  </si>
  <si>
    <t>u-karta podaci</t>
  </si>
  <si>
    <t>view_dpmo</t>
  </si>
  <si>
    <t>DPMO=(NOK/n)×1,000,000</t>
  </si>
  <si>
    <t>DPMO i RTY dashboard</t>
  </si>
  <si>
    <t>NOVE TABELE</t>
  </si>
  <si>
    <t>s_zon_podgrupe</t>
  </si>
  <si>
    <t>s_defekti</t>
  </si>
  <si>
    <t>t_pregledi_vozila</t>
  </si>
  <si>
    <t>t_log_defekata</t>
  </si>
  <si>
    <t>t_capa_mere</t>
  </si>
  <si>
    <t>ℹ  Radnici se dodaju u Supabase Auth (email+lozinka), zatim se user_id automatski poveže.        ℹ  Uloge: operator=unos merenja | kontrolor=pregled+karte | admin=sve+konfiguracija</t>
  </si>
  <si>
    <t>ℹ  Svaki red = jedan komad. Skeniranjem ID dela automatski se popunjavaju zelena polja. Plava — Ručni unos korisnika,Zelena — Automatski popunjava sistem,Crvena — Obavezan,Siva — Automatski timestamp/sistem podatak,</t>
  </si>
  <si>
    <t>Provera ulazne kontrole</t>
  </si>
  <si>
    <t>SPC ATRIBUTIVNE —  DPMO (IZLAZNI PODACI)</t>
  </si>
  <si>
    <t>SPC ATRIBUTIVNE — PARETO  (IZLAZNI PODACI)</t>
  </si>
  <si>
    <t>SPC ATRIBUTIVNE —  8D (IZLAZNI PODACI)</t>
  </si>
  <si>
    <t>SPC ATRIBUTIVNE — ESKALACIJE  (IZLAZNI PODACI)</t>
  </si>
  <si>
    <t>radni nal</t>
  </si>
  <si>
    <t>Celo vozilo</t>
  </si>
  <si>
    <t>MIKA</t>
  </si>
  <si>
    <t>LINIJE / PROCESI / OPERACIJE/GRESKE</t>
  </si>
  <si>
    <t>DEFEKT</t>
  </si>
  <si>
    <t>KATEGORIJA GRESKE</t>
  </si>
  <si>
    <t xml:space="preserve">ID </t>
  </si>
  <si>
    <t>ESKALACIJA ID</t>
  </si>
  <si>
    <t>ID DEO</t>
  </si>
  <si>
    <t>D1 TIM</t>
  </si>
  <si>
    <t>D2 OPIS PROBLEMA</t>
  </si>
  <si>
    <t>D3 PRIVREMENA AKCIJA</t>
  </si>
  <si>
    <t>D4 UZROK</t>
  </si>
  <si>
    <t>D5 KOREKTIVNA</t>
  </si>
  <si>
    <t xml:space="preserve">D6 IMPLEMENTACIJA </t>
  </si>
  <si>
    <t>D8 ZAKLJUCAK</t>
  </si>
  <si>
    <t>D7 PREVENCIJA</t>
  </si>
  <si>
    <t>KREIRAO ID</t>
  </si>
  <si>
    <t>CREATED AT</t>
  </si>
  <si>
    <t>UPDATED AT</t>
  </si>
  <si>
    <t>M.Kon implementira novu proceduru do 2024-01-25,  verifikacija P.Dragomir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</si>
</sst>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i/>
      <sz val="8"/>
      <color rgb="FF505A6A"/>
      <name val="Arial"/>
      <family val="2"/>
    </font>
    <font>
      <b/>
      <sz val="9"/>
      <color rgb="FF1A2030"/>
      <name val="Arial"/>
      <family val="2"/>
    </font>
    <font>
      <sz val="8"/>
      <name val="Aptos Narrow"/>
      <family val="2"/>
      <charset val="238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C5E3A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2F4F7"/>
      </patternFill>
    </fill>
    <fill>
      <patternFill patternType="solid">
        <fgColor rgb="FF5C1C1C"/>
      </patternFill>
    </fill>
    <fill>
      <patternFill patternType="solid">
        <fgColor rgb="FF1C3A5C"/>
      </patternFill>
    </fill>
    <fill>
      <patternFill patternType="solid">
        <fgColor rgb="FFFFD4D4"/>
      </patternFill>
    </fill>
    <fill>
      <patternFill patternType="solid">
        <fgColor rgb="FFFFF3D4"/>
      </patternFill>
    </fill>
    <fill>
      <patternFill patternType="solid">
        <fgColor rgb="FFD4E8FF"/>
      </patternFill>
    </fill>
    <fill>
      <patternFill patternType="solid">
        <fgColor rgb="FFF6F8FA"/>
      </patternFill>
    </fill>
    <fill>
      <patternFill patternType="solid">
        <fgColor rgb="FFD4F5E0"/>
      </patternFill>
    </fill>
    <fill>
      <patternFill patternType="solid">
        <fgColor rgb="FFF0F0F0"/>
      </patternFill>
    </fill>
    <fill>
      <patternFill patternType="solid">
        <fgColor rgb="FFFFE8E8"/>
      </patternFill>
    </fill>
    <fill>
      <patternFill patternType="solid">
        <fgColor rgb="FF2D1C5C"/>
      </patternFill>
    </fill>
  </fills>
  <borders count="7">
    <border>
      <left/>
      <right/>
      <top/>
      <bottom/>
      <diagonal/>
    </border>
    <border>
      <left/>
      <right/>
      <top/>
      <bottom style="thin">
        <color rgb="FFB0BAC8"/>
      </bottom>
      <diagonal/>
    </border>
    <border>
      <left style="thin">
        <color rgb="FFB0BAC8"/>
      </left>
      <right style="thin">
        <color rgb="FFB0BAC8"/>
      </right>
      <top style="thin">
        <color rgb="FFB0BAC8"/>
      </top>
      <bottom style="thin">
        <color rgb="FFB0BA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B0BAC8"/>
      </left>
      <right style="thin">
        <color rgb="FFB0BAC8"/>
      </right>
      <top/>
      <bottom/>
      <diagonal/>
    </border>
  </borders>
  <cellStyleXfs count="2">
    <xf numFmtId="0" fontId="0" fillId="0" borderId="0"/>
    <xf numFmtId="0" fontId="4" fillId="0" borderId="0"/>
  </cellStyleXfs>
  <cellXfs count="53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3" borderId="3" xfId="0" applyFill="1" applyBorder="1"/>
    <xf numFmtId="0" fontId="0" fillId="3" borderId="4" xfId="0" applyFill="1" applyBorder="1"/>
    <xf numFmtId="0" fontId="3" fillId="4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4" fillId="3" borderId="4" xfId="0" applyFont="1" applyFill="1" applyBorder="1"/>
    <xf numFmtId="0" fontId="2" fillId="5" borderId="2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0" fillId="0" borderId="5" xfId="0" applyBorder="1"/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center" vertical="center"/>
    </xf>
    <xf numFmtId="0" fontId="4" fillId="0" borderId="0" xfId="1"/>
    <xf numFmtId="0" fontId="2" fillId="6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3" fillId="4" borderId="2" xfId="1" applyFont="1" applyFill="1" applyBorder="1" applyAlignment="1">
      <alignment horizontal="left" vertical="center" wrapText="1"/>
    </xf>
    <xf numFmtId="0" fontId="7" fillId="7" borderId="2" xfId="1" applyFont="1" applyFill="1" applyBorder="1" applyAlignment="1">
      <alignment horizontal="center" vertical="center" wrapText="1"/>
    </xf>
    <xf numFmtId="0" fontId="7" fillId="11" borderId="2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 wrapText="1"/>
    </xf>
    <xf numFmtId="0" fontId="7" fillId="12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 wrapText="1"/>
    </xf>
    <xf numFmtId="0" fontId="2" fillId="14" borderId="2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left" vertical="center" wrapText="1"/>
    </xf>
    <xf numFmtId="0" fontId="3" fillId="11" borderId="2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left" vertical="center" wrapText="1"/>
    </xf>
    <xf numFmtId="0" fontId="3" fillId="9" borderId="2" xfId="1" applyFont="1" applyFill="1" applyBorder="1" applyAlignment="1">
      <alignment horizontal="left" vertical="center" wrapText="1"/>
    </xf>
    <xf numFmtId="0" fontId="3" fillId="0" borderId="6" xfId="1" applyFont="1" applyBorder="1" applyAlignment="1">
      <alignment horizontal="left" vertical="center" wrapText="1"/>
    </xf>
    <xf numFmtId="0" fontId="1" fillId="14" borderId="1" xfId="1" applyFont="1" applyFill="1" applyBorder="1" applyAlignment="1">
      <alignment horizontal="center" vertical="center"/>
    </xf>
    <xf numFmtId="0" fontId="5" fillId="6" borderId="0" xfId="1" applyFont="1" applyFill="1" applyAlignment="1">
      <alignment horizontal="center" vertical="center"/>
    </xf>
    <xf numFmtId="0" fontId="4" fillId="0" borderId="0" xfId="1"/>
    <xf numFmtId="0" fontId="6" fillId="10" borderId="0" xfId="1" applyFont="1" applyFill="1" applyAlignment="1">
      <alignment horizontal="left" vertical="center"/>
    </xf>
    <xf numFmtId="0" fontId="1" fillId="14" borderId="0" xfId="1" applyFont="1" applyFill="1" applyAlignment="1">
      <alignment horizontal="left" vertical="center"/>
    </xf>
    <xf numFmtId="0" fontId="1" fillId="2" borderId="0" xfId="1" applyFont="1" applyFill="1" applyAlignment="1">
      <alignment horizontal="left" vertical="center"/>
    </xf>
    <xf numFmtId="0" fontId="1" fillId="5" borderId="0" xfId="1" applyFont="1" applyFill="1" applyAlignment="1">
      <alignment horizontal="left" vertical="center"/>
    </xf>
    <xf numFmtId="0" fontId="1" fillId="6" borderId="1" xfId="1" applyFont="1" applyFill="1" applyBorder="1" applyAlignment="1">
      <alignment horizontal="center" vertical="center"/>
    </xf>
    <xf numFmtId="0" fontId="1" fillId="6" borderId="0" xfId="1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0" fillId="0" borderId="1" xfId="0" applyBorder="1"/>
    <xf numFmtId="0" fontId="1" fillId="5" borderId="1" xfId="1" applyFont="1" applyFill="1" applyBorder="1" applyAlignment="1">
      <alignment horizontal="center" vertical="center"/>
    </xf>
    <xf numFmtId="0" fontId="4" fillId="0" borderId="0" xfId="1" applyAlignment="1">
      <alignment horizontal="left" vertical="top" wrapText="1"/>
    </xf>
    <xf numFmtId="0" fontId="5" fillId="6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4C499884-55F8-45B4-A07E-15F0D13FE5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78FF-08F5-401E-B892-801EB9043AC4}">
  <dimension ref="A1:H39"/>
  <sheetViews>
    <sheetView showGridLines="0" workbookViewId="0">
      <pane ySplit="4" topLeftCell="A11" activePane="bottomLeft" state="frozen"/>
      <selection pane="bottomLeft" activeCell="C8" sqref="C8"/>
    </sheetView>
  </sheetViews>
  <sheetFormatPr defaultRowHeight="15" x14ac:dyDescent="0.25"/>
  <cols>
    <col min="1" max="1" width="26" style="17" customWidth="1"/>
    <col min="2" max="2" width="38" style="17" customWidth="1"/>
    <col min="3" max="3" width="42" style="17" customWidth="1"/>
    <col min="4" max="4" width="28" style="17" customWidth="1"/>
    <col min="5" max="5" width="40" style="17" customWidth="1"/>
    <col min="6" max="6" width="16" style="17" customWidth="1"/>
    <col min="7" max="7" width="8" style="17" customWidth="1"/>
    <col min="8" max="8" width="28" style="17" customWidth="1"/>
    <col min="9" max="16384" width="9.140625" style="17"/>
  </cols>
  <sheetData>
    <row r="1" spans="1:8" ht="24" customHeight="1" x14ac:dyDescent="0.25">
      <c r="A1" s="37" t="s">
        <v>774</v>
      </c>
      <c r="B1" s="38"/>
      <c r="C1" s="38"/>
      <c r="D1" s="38"/>
      <c r="E1" s="38"/>
      <c r="F1" s="38"/>
      <c r="G1" s="38"/>
      <c r="H1" s="38"/>
    </row>
    <row r="2" spans="1:8" ht="14.1" customHeight="1" x14ac:dyDescent="0.25">
      <c r="A2" s="39" t="s">
        <v>775</v>
      </c>
      <c r="B2" s="38"/>
      <c r="C2" s="38"/>
      <c r="D2" s="38"/>
      <c r="E2" s="38"/>
      <c r="F2" s="38"/>
      <c r="G2" s="38"/>
      <c r="H2" s="38"/>
    </row>
    <row r="4" spans="1:8" ht="32.1" customHeight="1" x14ac:dyDescent="0.25">
      <c r="A4" s="18" t="s">
        <v>776</v>
      </c>
      <c r="B4" s="18" t="s">
        <v>619</v>
      </c>
      <c r="C4" s="18" t="s">
        <v>777</v>
      </c>
      <c r="D4" s="18" t="s">
        <v>778</v>
      </c>
      <c r="E4" s="18" t="s">
        <v>779</v>
      </c>
      <c r="F4" s="18" t="s">
        <v>780</v>
      </c>
      <c r="G4" s="18" t="s">
        <v>781</v>
      </c>
      <c r="H4" s="18" t="s">
        <v>121</v>
      </c>
    </row>
    <row r="5" spans="1:8" x14ac:dyDescent="0.25">
      <c r="A5" s="19" t="s">
        <v>782</v>
      </c>
      <c r="B5" s="19" t="s">
        <v>783</v>
      </c>
      <c r="C5" s="19" t="s">
        <v>784</v>
      </c>
      <c r="D5" s="19" t="s">
        <v>785</v>
      </c>
      <c r="E5" s="19" t="s">
        <v>786</v>
      </c>
      <c r="F5" s="19" t="s">
        <v>787</v>
      </c>
      <c r="G5" s="19" t="s">
        <v>354</v>
      </c>
      <c r="H5" s="19"/>
    </row>
    <row r="6" spans="1:8" x14ac:dyDescent="0.25">
      <c r="A6" s="20" t="s">
        <v>788</v>
      </c>
      <c r="B6" s="20" t="s">
        <v>783</v>
      </c>
      <c r="C6" s="20" t="s">
        <v>789</v>
      </c>
      <c r="D6" s="20" t="s">
        <v>785</v>
      </c>
      <c r="E6" s="20" t="s">
        <v>790</v>
      </c>
      <c r="F6" s="20" t="s">
        <v>787</v>
      </c>
      <c r="G6" s="20" t="s">
        <v>354</v>
      </c>
      <c r="H6" s="20"/>
    </row>
    <row r="7" spans="1:8" x14ac:dyDescent="0.25">
      <c r="A7" s="19" t="s">
        <v>791</v>
      </c>
      <c r="B7" s="19" t="s">
        <v>783</v>
      </c>
      <c r="C7" s="19" t="s">
        <v>789</v>
      </c>
      <c r="D7" s="19" t="s">
        <v>785</v>
      </c>
      <c r="E7" s="19" t="s">
        <v>792</v>
      </c>
      <c r="F7" s="19" t="s">
        <v>787</v>
      </c>
      <c r="G7" s="19" t="s">
        <v>354</v>
      </c>
      <c r="H7" s="19"/>
    </row>
    <row r="8" spans="1:8" x14ac:dyDescent="0.25">
      <c r="A8" s="20" t="s">
        <v>793</v>
      </c>
      <c r="B8" s="20" t="s">
        <v>783</v>
      </c>
      <c r="C8" s="20" t="s">
        <v>794</v>
      </c>
      <c r="D8" s="20" t="s">
        <v>785</v>
      </c>
      <c r="E8" s="20" t="s">
        <v>795</v>
      </c>
      <c r="F8" s="20" t="s">
        <v>787</v>
      </c>
      <c r="G8" s="20" t="s">
        <v>354</v>
      </c>
      <c r="H8" s="20"/>
    </row>
    <row r="9" spans="1:8" x14ac:dyDescent="0.25">
      <c r="A9" s="19" t="s">
        <v>796</v>
      </c>
      <c r="B9" s="19" t="s">
        <v>783</v>
      </c>
      <c r="C9" s="19" t="s">
        <v>797</v>
      </c>
      <c r="D9" s="19" t="s">
        <v>785</v>
      </c>
      <c r="E9" s="19" t="s">
        <v>798</v>
      </c>
      <c r="F9" s="19" t="s">
        <v>799</v>
      </c>
      <c r="G9" s="19" t="s">
        <v>354</v>
      </c>
      <c r="H9" s="19"/>
    </row>
    <row r="10" spans="1:8" x14ac:dyDescent="0.25">
      <c r="A10" s="20" t="s">
        <v>800</v>
      </c>
      <c r="B10" s="20" t="s">
        <v>801</v>
      </c>
      <c r="C10" s="20" t="s">
        <v>802</v>
      </c>
      <c r="D10" s="20" t="s">
        <v>803</v>
      </c>
      <c r="E10" s="20" t="s">
        <v>804</v>
      </c>
      <c r="F10" s="20" t="s">
        <v>805</v>
      </c>
      <c r="G10" s="20" t="s">
        <v>354</v>
      </c>
      <c r="H10" s="20" t="s">
        <v>806</v>
      </c>
    </row>
    <row r="11" spans="1:8" ht="24" customHeight="1" x14ac:dyDescent="0.25">
      <c r="A11" s="19" t="s">
        <v>807</v>
      </c>
      <c r="B11" s="19" t="s">
        <v>801</v>
      </c>
      <c r="C11" s="19" t="s">
        <v>808</v>
      </c>
      <c r="D11" s="19" t="s">
        <v>809</v>
      </c>
      <c r="E11" s="19" t="s">
        <v>810</v>
      </c>
      <c r="F11" s="19" t="s">
        <v>811</v>
      </c>
      <c r="G11" s="19" t="s">
        <v>354</v>
      </c>
      <c r="H11" s="19" t="s">
        <v>812</v>
      </c>
    </row>
    <row r="12" spans="1:8" x14ac:dyDescent="0.25">
      <c r="A12" s="20" t="s">
        <v>813</v>
      </c>
      <c r="B12" s="20" t="s">
        <v>801</v>
      </c>
      <c r="C12" s="20" t="s">
        <v>814</v>
      </c>
      <c r="D12" s="20" t="s">
        <v>807</v>
      </c>
      <c r="E12" s="20" t="s">
        <v>815</v>
      </c>
      <c r="F12" s="20" t="s">
        <v>799</v>
      </c>
      <c r="G12" s="20" t="s">
        <v>354</v>
      </c>
      <c r="H12" s="20" t="s">
        <v>816</v>
      </c>
    </row>
    <row r="13" spans="1:8" x14ac:dyDescent="0.25">
      <c r="A13" s="19" t="s">
        <v>817</v>
      </c>
      <c r="B13" s="19" t="s">
        <v>801</v>
      </c>
      <c r="C13" s="19" t="s">
        <v>818</v>
      </c>
      <c r="D13" s="19" t="s">
        <v>785</v>
      </c>
      <c r="E13" s="19" t="s">
        <v>819</v>
      </c>
      <c r="F13" s="19" t="s">
        <v>785</v>
      </c>
      <c r="G13" s="19" t="s">
        <v>354</v>
      </c>
      <c r="H13" s="19" t="s">
        <v>820</v>
      </c>
    </row>
    <row r="14" spans="1:8" x14ac:dyDescent="0.25">
      <c r="A14" s="20" t="s">
        <v>821</v>
      </c>
      <c r="B14" s="20" t="s">
        <v>822</v>
      </c>
      <c r="C14" s="20" t="s">
        <v>823</v>
      </c>
      <c r="D14" s="20" t="s">
        <v>800</v>
      </c>
      <c r="E14" s="20" t="s">
        <v>824</v>
      </c>
      <c r="F14" s="20" t="s">
        <v>785</v>
      </c>
      <c r="G14" s="20" t="s">
        <v>354</v>
      </c>
      <c r="H14" s="20" t="s">
        <v>825</v>
      </c>
    </row>
    <row r="15" spans="1:8" ht="60" customHeight="1" x14ac:dyDescent="0.25">
      <c r="A15" s="34" t="s">
        <v>826</v>
      </c>
      <c r="B15" s="34" t="s">
        <v>827</v>
      </c>
      <c r="C15" s="34" t="s">
        <v>828</v>
      </c>
      <c r="D15" s="34" t="s">
        <v>829</v>
      </c>
      <c r="E15" s="34" t="s">
        <v>830</v>
      </c>
      <c r="F15" s="34" t="s">
        <v>831</v>
      </c>
      <c r="G15" s="34" t="s">
        <v>354</v>
      </c>
      <c r="H15" s="34" t="s">
        <v>832</v>
      </c>
    </row>
    <row r="16" spans="1:8" x14ac:dyDescent="0.25">
      <c r="A16" s="20" t="s">
        <v>833</v>
      </c>
      <c r="B16" s="20" t="s">
        <v>801</v>
      </c>
      <c r="C16" s="20" t="s">
        <v>834</v>
      </c>
      <c r="D16" s="20" t="s">
        <v>807</v>
      </c>
      <c r="E16" s="20" t="s">
        <v>835</v>
      </c>
      <c r="F16" s="20" t="s">
        <v>836</v>
      </c>
      <c r="G16" s="20" t="s">
        <v>354</v>
      </c>
      <c r="H16" s="20"/>
    </row>
    <row r="17" spans="1:8" x14ac:dyDescent="0.25">
      <c r="A17" s="19" t="s">
        <v>837</v>
      </c>
      <c r="B17" s="19" t="s">
        <v>801</v>
      </c>
      <c r="C17" s="19" t="s">
        <v>838</v>
      </c>
      <c r="D17" s="19" t="s">
        <v>800</v>
      </c>
      <c r="E17" s="19" t="s">
        <v>839</v>
      </c>
      <c r="F17" s="19" t="s">
        <v>840</v>
      </c>
      <c r="G17" s="19" t="s">
        <v>354</v>
      </c>
      <c r="H17" s="19"/>
    </row>
    <row r="18" spans="1:8" ht="24" customHeight="1" x14ac:dyDescent="0.25">
      <c r="A18" s="20" t="s">
        <v>841</v>
      </c>
      <c r="B18" s="20" t="s">
        <v>822</v>
      </c>
      <c r="C18" s="20" t="s">
        <v>842</v>
      </c>
      <c r="D18" s="20" t="s">
        <v>837</v>
      </c>
      <c r="E18" s="20" t="s">
        <v>843</v>
      </c>
      <c r="F18" s="20" t="s">
        <v>840</v>
      </c>
      <c r="G18" s="20" t="s">
        <v>354</v>
      </c>
      <c r="H18" s="20"/>
    </row>
    <row r="19" spans="1:8" ht="24" customHeight="1" x14ac:dyDescent="0.25">
      <c r="A19" s="19" t="s">
        <v>844</v>
      </c>
      <c r="B19" s="19" t="s">
        <v>822</v>
      </c>
      <c r="C19" s="19" t="s">
        <v>845</v>
      </c>
      <c r="D19" s="19" t="s">
        <v>846</v>
      </c>
      <c r="E19" s="19" t="s">
        <v>847</v>
      </c>
      <c r="F19" s="19" t="s">
        <v>848</v>
      </c>
      <c r="G19" s="19" t="s">
        <v>354</v>
      </c>
      <c r="H19" s="19"/>
    </row>
    <row r="20" spans="1:8" ht="24" customHeight="1" x14ac:dyDescent="0.25">
      <c r="A20" s="20" t="s">
        <v>849</v>
      </c>
      <c r="B20" s="20" t="s">
        <v>822</v>
      </c>
      <c r="C20" s="20" t="s">
        <v>850</v>
      </c>
      <c r="D20" s="20" t="s">
        <v>846</v>
      </c>
      <c r="E20" s="20" t="s">
        <v>851</v>
      </c>
      <c r="F20" s="20" t="s">
        <v>848</v>
      </c>
      <c r="G20" s="20" t="s">
        <v>354</v>
      </c>
      <c r="H20" s="20"/>
    </row>
    <row r="21" spans="1:8" x14ac:dyDescent="0.25">
      <c r="A21" s="19" t="s">
        <v>852</v>
      </c>
      <c r="B21" s="19" t="s">
        <v>822</v>
      </c>
      <c r="C21" s="19" t="s">
        <v>853</v>
      </c>
      <c r="D21" s="19" t="s">
        <v>800</v>
      </c>
      <c r="E21" s="19" t="s">
        <v>854</v>
      </c>
      <c r="F21" s="19" t="s">
        <v>785</v>
      </c>
      <c r="G21" s="19" t="s">
        <v>354</v>
      </c>
      <c r="H21" s="19" t="s">
        <v>855</v>
      </c>
    </row>
    <row r="24" spans="1:8" ht="6" customHeight="1" x14ac:dyDescent="0.25"/>
    <row r="25" spans="1:8" ht="20.100000000000001" customHeight="1" x14ac:dyDescent="0.25">
      <c r="A25" s="40" t="s">
        <v>856</v>
      </c>
      <c r="B25" s="38"/>
      <c r="C25" s="38"/>
      <c r="D25" s="38"/>
      <c r="E25" s="38"/>
      <c r="F25" s="38"/>
      <c r="G25" s="38"/>
      <c r="H25" s="38"/>
    </row>
    <row r="26" spans="1:8" ht="32.1" customHeight="1" x14ac:dyDescent="0.25">
      <c r="A26" s="27" t="s">
        <v>857</v>
      </c>
      <c r="B26" s="27" t="s">
        <v>471</v>
      </c>
      <c r="C26" s="27" t="s">
        <v>472</v>
      </c>
      <c r="D26" s="27" t="s">
        <v>779</v>
      </c>
    </row>
    <row r="27" spans="1:8" x14ac:dyDescent="0.25">
      <c r="A27" s="19" t="s">
        <v>858</v>
      </c>
      <c r="B27" s="19" t="s">
        <v>859</v>
      </c>
      <c r="C27" s="19" t="s">
        <v>860</v>
      </c>
      <c r="D27" s="19" t="s">
        <v>861</v>
      </c>
    </row>
    <row r="28" spans="1:8" x14ac:dyDescent="0.25">
      <c r="A28" s="20" t="s">
        <v>862</v>
      </c>
      <c r="B28" s="20" t="s">
        <v>863</v>
      </c>
      <c r="C28" s="20" t="s">
        <v>864</v>
      </c>
      <c r="D28" s="20" t="s">
        <v>865</v>
      </c>
    </row>
    <row r="29" spans="1:8" x14ac:dyDescent="0.25">
      <c r="A29" s="19" t="s">
        <v>866</v>
      </c>
      <c r="B29" s="19" t="s">
        <v>867</v>
      </c>
      <c r="C29" s="19" t="s">
        <v>868</v>
      </c>
      <c r="D29" s="19" t="s">
        <v>869</v>
      </c>
    </row>
    <row r="30" spans="1:8" x14ac:dyDescent="0.25">
      <c r="A30" s="20" t="s">
        <v>870</v>
      </c>
      <c r="B30" s="20" t="s">
        <v>871</v>
      </c>
      <c r="C30" s="20" t="s">
        <v>872</v>
      </c>
      <c r="D30" s="20" t="s">
        <v>873</v>
      </c>
    </row>
    <row r="31" spans="1:8" x14ac:dyDescent="0.25">
      <c r="A31" s="19" t="s">
        <v>874</v>
      </c>
      <c r="B31" s="19" t="s">
        <v>875</v>
      </c>
      <c r="C31" s="19" t="s">
        <v>785</v>
      </c>
      <c r="D31" s="19" t="s">
        <v>876</v>
      </c>
    </row>
    <row r="34" spans="1:1" x14ac:dyDescent="0.25">
      <c r="A34" s="17" t="s">
        <v>877</v>
      </c>
    </row>
    <row r="35" spans="1:1" x14ac:dyDescent="0.25">
      <c r="A35" s="17" t="s">
        <v>878</v>
      </c>
    </row>
    <row r="36" spans="1:1" x14ac:dyDescent="0.25">
      <c r="A36" s="17" t="s">
        <v>879</v>
      </c>
    </row>
    <row r="37" spans="1:1" x14ac:dyDescent="0.25">
      <c r="A37" s="17" t="s">
        <v>880</v>
      </c>
    </row>
    <row r="38" spans="1:1" x14ac:dyDescent="0.25">
      <c r="A38" s="17" t="s">
        <v>881</v>
      </c>
    </row>
    <row r="39" spans="1:1" x14ac:dyDescent="0.25">
      <c r="A39" s="17" t="s">
        <v>882</v>
      </c>
    </row>
  </sheetData>
  <mergeCells count="3">
    <mergeCell ref="A1:H1"/>
    <mergeCell ref="A2:H2"/>
    <mergeCell ref="A25:H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9191-62C1-48B1-98B2-7C181A02B844}">
  <dimension ref="A1:H41"/>
  <sheetViews>
    <sheetView showGridLines="0" workbookViewId="0">
      <pane ySplit="4" topLeftCell="A30" activePane="bottomLeft" state="frozen"/>
      <selection pane="bottomLeft" activeCell="H35" sqref="H35"/>
    </sheetView>
  </sheetViews>
  <sheetFormatPr defaultRowHeight="15" x14ac:dyDescent="0.25"/>
  <cols>
    <col min="1" max="1" width="20" style="17" customWidth="1"/>
    <col min="2" max="2" width="28" style="17" customWidth="1"/>
    <col min="3" max="3" width="18" style="17" customWidth="1"/>
    <col min="4" max="4" width="45" style="17" customWidth="1"/>
    <col min="5" max="5" width="10" style="17" customWidth="1"/>
    <col min="6" max="6" width="28" style="17" customWidth="1"/>
    <col min="7" max="16384" width="9.140625" style="17"/>
  </cols>
  <sheetData>
    <row r="1" spans="1:8" ht="24" customHeight="1" x14ac:dyDescent="0.25">
      <c r="A1" s="37" t="s">
        <v>670</v>
      </c>
      <c r="B1" s="38"/>
      <c r="C1" s="38"/>
      <c r="D1" s="38"/>
      <c r="E1" s="38"/>
      <c r="F1" s="38"/>
      <c r="G1" s="38"/>
      <c r="H1" s="38"/>
    </row>
    <row r="2" spans="1:8" ht="14.1" customHeight="1" x14ac:dyDescent="0.25">
      <c r="A2" s="39" t="s">
        <v>671</v>
      </c>
      <c r="B2" s="38"/>
      <c r="C2" s="38"/>
      <c r="D2" s="38"/>
      <c r="E2" s="38"/>
      <c r="F2" s="38"/>
      <c r="G2" s="38"/>
      <c r="H2" s="38"/>
    </row>
    <row r="4" spans="1:8" ht="20.100000000000001" customHeight="1" x14ac:dyDescent="0.25">
      <c r="A4" s="41" t="s">
        <v>672</v>
      </c>
      <c r="B4" s="38"/>
      <c r="C4" s="38"/>
      <c r="D4" s="38"/>
      <c r="E4" s="38"/>
      <c r="F4" s="38"/>
      <c r="G4" s="38"/>
      <c r="H4" s="38"/>
    </row>
    <row r="5" spans="1:8" ht="32.1" customHeight="1" x14ac:dyDescent="0.25">
      <c r="A5" s="32" t="s">
        <v>590</v>
      </c>
      <c r="B5" s="32" t="s">
        <v>673</v>
      </c>
      <c r="C5" s="32" t="s">
        <v>674</v>
      </c>
      <c r="D5" s="32" t="s">
        <v>675</v>
      </c>
      <c r="E5" s="32" t="s">
        <v>414</v>
      </c>
    </row>
    <row r="6" spans="1:8" ht="48" customHeight="1" x14ac:dyDescent="0.25">
      <c r="A6" s="31">
        <v>1</v>
      </c>
      <c r="B6" s="31" t="s">
        <v>676</v>
      </c>
      <c r="C6" s="31" t="s">
        <v>677</v>
      </c>
      <c r="D6" s="31" t="s">
        <v>678</v>
      </c>
      <c r="E6" s="31" t="s">
        <v>679</v>
      </c>
    </row>
    <row r="7" spans="1:8" ht="48" customHeight="1" x14ac:dyDescent="0.25">
      <c r="A7" s="31">
        <v>2</v>
      </c>
      <c r="B7" s="31" t="s">
        <v>680</v>
      </c>
      <c r="C7" s="31" t="s">
        <v>681</v>
      </c>
      <c r="D7" s="31" t="s">
        <v>682</v>
      </c>
      <c r="E7" s="31" t="s">
        <v>679</v>
      </c>
    </row>
    <row r="8" spans="1:8" ht="36" customHeight="1" x14ac:dyDescent="0.25">
      <c r="A8" s="31">
        <v>3</v>
      </c>
      <c r="B8" s="31" t="s">
        <v>683</v>
      </c>
      <c r="C8" s="31" t="s">
        <v>684</v>
      </c>
      <c r="D8" s="31" t="s">
        <v>685</v>
      </c>
      <c r="E8" s="31" t="s">
        <v>679</v>
      </c>
    </row>
    <row r="9" spans="1:8" ht="36" customHeight="1" x14ac:dyDescent="0.25">
      <c r="A9" s="31">
        <v>4</v>
      </c>
      <c r="B9" s="31" t="s">
        <v>686</v>
      </c>
      <c r="C9" s="31" t="s">
        <v>687</v>
      </c>
      <c r="D9" s="31" t="s">
        <v>688</v>
      </c>
      <c r="E9" s="31" t="s">
        <v>679</v>
      </c>
    </row>
    <row r="10" spans="1:8" ht="36" customHeight="1" x14ac:dyDescent="0.25">
      <c r="A10" s="31">
        <v>5</v>
      </c>
      <c r="B10" s="31" t="s">
        <v>689</v>
      </c>
      <c r="C10" s="31" t="s">
        <v>690</v>
      </c>
      <c r="D10" s="31" t="s">
        <v>691</v>
      </c>
      <c r="E10" s="31" t="s">
        <v>679</v>
      </c>
    </row>
    <row r="11" spans="1:8" ht="48" customHeight="1" x14ac:dyDescent="0.25">
      <c r="A11" s="30">
        <v>6</v>
      </c>
      <c r="B11" s="30" t="s">
        <v>692</v>
      </c>
      <c r="C11" s="30" t="s">
        <v>693</v>
      </c>
      <c r="D11" s="30" t="s">
        <v>694</v>
      </c>
      <c r="E11" s="30" t="s">
        <v>695</v>
      </c>
    </row>
    <row r="12" spans="1:8" ht="24" customHeight="1" x14ac:dyDescent="0.25">
      <c r="A12" s="33">
        <v>7</v>
      </c>
      <c r="B12" s="33" t="s">
        <v>696</v>
      </c>
      <c r="C12" s="33" t="s">
        <v>697</v>
      </c>
      <c r="D12" s="33" t="s">
        <v>698</v>
      </c>
      <c r="E12" s="33" t="s">
        <v>699</v>
      </c>
    </row>
    <row r="14" spans="1:8" ht="6" customHeight="1" x14ac:dyDescent="0.25"/>
    <row r="15" spans="1:8" ht="20.100000000000001" customHeight="1" x14ac:dyDescent="0.25">
      <c r="A15" s="40" t="s">
        <v>700</v>
      </c>
      <c r="B15" s="38"/>
      <c r="C15" s="38"/>
      <c r="D15" s="38"/>
      <c r="E15" s="38"/>
      <c r="F15" s="38"/>
      <c r="G15" s="38"/>
      <c r="H15" s="38"/>
    </row>
    <row r="16" spans="1:8" ht="32.1" customHeight="1" x14ac:dyDescent="0.25">
      <c r="A16" s="27" t="s">
        <v>701</v>
      </c>
      <c r="B16" s="27" t="s">
        <v>702</v>
      </c>
      <c r="C16" s="27" t="s">
        <v>703</v>
      </c>
      <c r="D16" s="27" t="s">
        <v>704</v>
      </c>
    </row>
    <row r="17" spans="1:8" x14ac:dyDescent="0.25">
      <c r="A17" s="19" t="s">
        <v>705</v>
      </c>
      <c r="B17" s="19" t="s">
        <v>350</v>
      </c>
      <c r="C17" s="19" t="s">
        <v>706</v>
      </c>
      <c r="D17" s="19" t="s">
        <v>707</v>
      </c>
    </row>
    <row r="18" spans="1:8" x14ac:dyDescent="0.25">
      <c r="A18" s="20" t="s">
        <v>708</v>
      </c>
      <c r="B18" s="20" t="s">
        <v>709</v>
      </c>
      <c r="C18" s="20" t="s">
        <v>710</v>
      </c>
      <c r="D18" s="20" t="s">
        <v>711</v>
      </c>
    </row>
    <row r="19" spans="1:8" ht="24" customHeight="1" x14ac:dyDescent="0.25">
      <c r="A19" s="19" t="s">
        <v>712</v>
      </c>
      <c r="B19" s="19" t="s">
        <v>713</v>
      </c>
      <c r="C19" s="19" t="s">
        <v>714</v>
      </c>
      <c r="D19" s="19" t="s">
        <v>711</v>
      </c>
    </row>
    <row r="20" spans="1:8" ht="24" customHeight="1" x14ac:dyDescent="0.25">
      <c r="A20" s="20" t="s">
        <v>715</v>
      </c>
      <c r="B20" s="20" t="s">
        <v>716</v>
      </c>
      <c r="C20" s="20" t="s">
        <v>717</v>
      </c>
      <c r="D20" s="20" t="s">
        <v>718</v>
      </c>
    </row>
    <row r="22" spans="1:8" ht="6" customHeight="1" x14ac:dyDescent="0.25"/>
    <row r="23" spans="1:8" ht="20.100000000000001" customHeight="1" x14ac:dyDescent="0.25">
      <c r="A23" s="42" t="s">
        <v>719</v>
      </c>
      <c r="B23" s="38"/>
      <c r="C23" s="38"/>
      <c r="D23" s="38"/>
      <c r="E23" s="38"/>
      <c r="F23" s="38"/>
      <c r="G23" s="38"/>
      <c r="H23" s="38"/>
    </row>
    <row r="24" spans="1:8" ht="32.1" customHeight="1" x14ac:dyDescent="0.25">
      <c r="A24" s="28" t="s">
        <v>720</v>
      </c>
      <c r="B24" s="28" t="s">
        <v>136</v>
      </c>
      <c r="C24" s="28" t="s">
        <v>721</v>
      </c>
      <c r="D24" s="28" t="s">
        <v>722</v>
      </c>
      <c r="E24" s="28" t="s">
        <v>723</v>
      </c>
    </row>
    <row r="25" spans="1:8" ht="36" customHeight="1" x14ac:dyDescent="0.25">
      <c r="A25" s="19" t="s">
        <v>724</v>
      </c>
      <c r="B25" s="19" t="s">
        <v>725</v>
      </c>
      <c r="C25" s="19" t="s">
        <v>726</v>
      </c>
      <c r="D25" s="19" t="s">
        <v>727</v>
      </c>
      <c r="E25" s="19" t="s">
        <v>508</v>
      </c>
    </row>
    <row r="26" spans="1:8" ht="48" customHeight="1" x14ac:dyDescent="0.25">
      <c r="A26" s="31" t="s">
        <v>728</v>
      </c>
      <c r="B26" s="31" t="s">
        <v>729</v>
      </c>
      <c r="C26" s="31" t="s">
        <v>730</v>
      </c>
      <c r="D26" s="31" t="s">
        <v>731</v>
      </c>
      <c r="E26" s="31" t="s">
        <v>354</v>
      </c>
    </row>
    <row r="27" spans="1:8" ht="60" customHeight="1" x14ac:dyDescent="0.25">
      <c r="A27" s="19" t="s">
        <v>732</v>
      </c>
      <c r="B27" s="19" t="s">
        <v>733</v>
      </c>
      <c r="C27" s="19" t="s">
        <v>734</v>
      </c>
      <c r="D27" s="19" t="s">
        <v>735</v>
      </c>
      <c r="E27" s="19" t="s">
        <v>736</v>
      </c>
    </row>
    <row r="28" spans="1:8" ht="36" customHeight="1" x14ac:dyDescent="0.25">
      <c r="A28" s="34" t="s">
        <v>737</v>
      </c>
      <c r="B28" s="34" t="s">
        <v>738</v>
      </c>
      <c r="C28" s="34" t="s">
        <v>739</v>
      </c>
      <c r="D28" s="34" t="s">
        <v>740</v>
      </c>
      <c r="E28" s="34" t="s">
        <v>741</v>
      </c>
    </row>
    <row r="30" spans="1:8" ht="20.100000000000001" customHeight="1" x14ac:dyDescent="0.25">
      <c r="A30" s="41" t="s">
        <v>742</v>
      </c>
      <c r="B30" s="38"/>
      <c r="C30" s="38"/>
      <c r="D30" s="38"/>
      <c r="E30" s="38"/>
      <c r="F30" s="38"/>
      <c r="G30" s="38"/>
      <c r="H30" s="38"/>
    </row>
    <row r="31" spans="1:8" ht="32.1" customHeight="1" x14ac:dyDescent="0.25">
      <c r="A31" s="32" t="s">
        <v>743</v>
      </c>
      <c r="B31" s="32" t="s">
        <v>591</v>
      </c>
      <c r="C31" s="32" t="s">
        <v>1</v>
      </c>
      <c r="D31" s="32" t="s">
        <v>744</v>
      </c>
      <c r="E31" s="32" t="s">
        <v>745</v>
      </c>
      <c r="F31" s="32" t="s">
        <v>121</v>
      </c>
    </row>
    <row r="32" spans="1:8" x14ac:dyDescent="0.25">
      <c r="A32" s="19" t="s">
        <v>746</v>
      </c>
      <c r="B32" s="19" t="s">
        <v>747</v>
      </c>
      <c r="C32" s="19" t="s">
        <v>26</v>
      </c>
      <c r="D32" s="19" t="s">
        <v>748</v>
      </c>
      <c r="E32" s="19">
        <v>5</v>
      </c>
      <c r="F32" s="19" t="s">
        <v>749</v>
      </c>
    </row>
    <row r="33" spans="1:8" x14ac:dyDescent="0.25">
      <c r="A33" s="20" t="s">
        <v>750</v>
      </c>
      <c r="B33" s="20" t="s">
        <v>751</v>
      </c>
      <c r="C33" s="20" t="s">
        <v>26</v>
      </c>
      <c r="D33" s="20" t="s">
        <v>752</v>
      </c>
      <c r="E33" s="20">
        <v>1</v>
      </c>
      <c r="F33" s="20" t="s">
        <v>753</v>
      </c>
    </row>
    <row r="34" spans="1:8" x14ac:dyDescent="0.25">
      <c r="A34" s="19" t="s">
        <v>754</v>
      </c>
      <c r="B34" s="19" t="s">
        <v>755</v>
      </c>
      <c r="C34" s="19" t="s">
        <v>122</v>
      </c>
      <c r="D34" s="19" t="s">
        <v>756</v>
      </c>
      <c r="E34" s="19">
        <v>3</v>
      </c>
      <c r="F34" s="19" t="s">
        <v>757</v>
      </c>
    </row>
    <row r="35" spans="1:8" x14ac:dyDescent="0.25">
      <c r="A35" s="20" t="s">
        <v>758</v>
      </c>
      <c r="B35" s="20" t="s">
        <v>759</v>
      </c>
      <c r="C35" s="20" t="s">
        <v>122</v>
      </c>
      <c r="D35" s="20" t="s">
        <v>760</v>
      </c>
      <c r="E35" s="20">
        <v>3</v>
      </c>
      <c r="F35" s="20" t="s">
        <v>757</v>
      </c>
    </row>
    <row r="36" spans="1:8" x14ac:dyDescent="0.25">
      <c r="A36" s="19" t="s">
        <v>761</v>
      </c>
      <c r="B36" s="19" t="s">
        <v>762</v>
      </c>
      <c r="C36" s="19" t="s">
        <v>122</v>
      </c>
      <c r="D36" s="19" t="s">
        <v>763</v>
      </c>
      <c r="E36" s="19">
        <v>3</v>
      </c>
      <c r="F36" s="19" t="s">
        <v>757</v>
      </c>
    </row>
    <row r="37" spans="1:8" x14ac:dyDescent="0.25">
      <c r="A37" s="20" t="s">
        <v>764</v>
      </c>
      <c r="B37" s="20" t="s">
        <v>293</v>
      </c>
      <c r="C37" s="20" t="s">
        <v>122</v>
      </c>
      <c r="D37" s="20" t="s">
        <v>765</v>
      </c>
      <c r="E37" s="20">
        <v>5</v>
      </c>
      <c r="F37" s="20" t="s">
        <v>766</v>
      </c>
    </row>
    <row r="38" spans="1:8" x14ac:dyDescent="0.25">
      <c r="A38" s="19" t="s">
        <v>767</v>
      </c>
      <c r="B38" s="19" t="s">
        <v>309</v>
      </c>
      <c r="C38" s="19" t="s">
        <v>122</v>
      </c>
      <c r="D38" s="19" t="s">
        <v>768</v>
      </c>
      <c r="E38" s="19">
        <v>3</v>
      </c>
      <c r="F38" s="19" t="s">
        <v>757</v>
      </c>
    </row>
    <row r="39" spans="1:8" x14ac:dyDescent="0.25">
      <c r="A39" s="20" t="s">
        <v>769</v>
      </c>
      <c r="B39" s="20" t="s">
        <v>770</v>
      </c>
      <c r="C39" s="20" t="s">
        <v>122</v>
      </c>
      <c r="D39" s="20" t="s">
        <v>771</v>
      </c>
      <c r="E39" s="20">
        <v>1</v>
      </c>
      <c r="F39" s="20" t="s">
        <v>772</v>
      </c>
    </row>
    <row r="41" spans="1:8" ht="14.1" customHeight="1" x14ac:dyDescent="0.25">
      <c r="A41" s="39" t="s">
        <v>773</v>
      </c>
      <c r="B41" s="38"/>
      <c r="C41" s="38"/>
      <c r="D41" s="38"/>
      <c r="E41" s="38"/>
      <c r="F41" s="38"/>
      <c r="G41" s="38"/>
      <c r="H41" s="38"/>
    </row>
  </sheetData>
  <mergeCells count="7">
    <mergeCell ref="A41:H41"/>
    <mergeCell ref="A1:H1"/>
    <mergeCell ref="A2:H2"/>
    <mergeCell ref="A4:H4"/>
    <mergeCell ref="A15:H15"/>
    <mergeCell ref="A23:H23"/>
    <mergeCell ref="A30:H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EEFB-8D20-4325-87C0-42AA029428D0}">
  <dimension ref="A1:M6"/>
  <sheetViews>
    <sheetView showGridLines="0" workbookViewId="0">
      <pane ySplit="3" topLeftCell="A4" activePane="bottomLeft" state="frozen"/>
      <selection pane="bottomLeft" activeCell="H11" sqref="H11"/>
    </sheetView>
  </sheetViews>
  <sheetFormatPr defaultRowHeight="15" x14ac:dyDescent="0.25"/>
  <cols>
    <col min="1" max="1" width="9.140625" style="17"/>
    <col min="2" max="2" width="12" style="17" customWidth="1"/>
    <col min="3" max="3" width="24" style="17" customWidth="1"/>
    <col min="4" max="5" width="12" style="17" customWidth="1"/>
    <col min="6" max="6" width="10" style="17" customWidth="1"/>
    <col min="7" max="7" width="12" style="17" customWidth="1"/>
    <col min="8" max="8" width="14" style="17" customWidth="1"/>
    <col min="9" max="9" width="16" style="17" customWidth="1"/>
    <col min="10" max="10" width="13" style="17" customWidth="1"/>
    <col min="11" max="12" width="12" style="17" customWidth="1"/>
    <col min="13" max="13" width="14" style="17" customWidth="1"/>
    <col min="14" max="16384" width="9.140625" style="17"/>
  </cols>
  <sheetData>
    <row r="1" spans="1:13" ht="24" customHeight="1" x14ac:dyDescent="0.25">
      <c r="A1" s="37" t="s">
        <v>655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ht="24" customHeigh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ht="32.1" customHeight="1" x14ac:dyDescent="0.25">
      <c r="A3" s="18" t="s">
        <v>0</v>
      </c>
      <c r="B3" s="18" t="s">
        <v>457</v>
      </c>
      <c r="C3" s="18" t="s">
        <v>591</v>
      </c>
      <c r="D3" s="18" t="s">
        <v>656</v>
      </c>
      <c r="E3" s="18" t="s">
        <v>657</v>
      </c>
      <c r="F3" s="18" t="s">
        <v>658</v>
      </c>
      <c r="G3" s="18" t="s">
        <v>659</v>
      </c>
      <c r="H3" s="18" t="s">
        <v>660</v>
      </c>
      <c r="I3" s="18" t="s">
        <v>661</v>
      </c>
      <c r="J3" s="18" t="s">
        <v>662</v>
      </c>
      <c r="K3" s="18" t="s">
        <v>663</v>
      </c>
      <c r="L3" s="18" t="s">
        <v>664</v>
      </c>
      <c r="M3" s="18" t="s">
        <v>530</v>
      </c>
    </row>
    <row r="4" spans="1:13" x14ac:dyDescent="0.25">
      <c r="A4" s="29">
        <v>1</v>
      </c>
      <c r="B4" s="29" t="s">
        <v>350</v>
      </c>
      <c r="C4" s="29" t="s">
        <v>351</v>
      </c>
      <c r="D4" s="29">
        <v>95</v>
      </c>
      <c r="E4" s="29">
        <v>50000</v>
      </c>
      <c r="F4" s="29">
        <v>5</v>
      </c>
      <c r="G4" s="29" t="s">
        <v>665</v>
      </c>
      <c r="H4" s="29">
        <v>92.3</v>
      </c>
      <c r="I4" s="29">
        <v>77000</v>
      </c>
      <c r="J4" s="29">
        <v>7.7</v>
      </c>
      <c r="K4" s="29" t="s">
        <v>666</v>
      </c>
      <c r="L4" s="29" t="s">
        <v>666</v>
      </c>
      <c r="M4" s="29" t="s">
        <v>667</v>
      </c>
    </row>
    <row r="5" spans="1:13" x14ac:dyDescent="0.25">
      <c r="A5" s="30">
        <v>2</v>
      </c>
      <c r="B5" s="30" t="s">
        <v>356</v>
      </c>
      <c r="C5" s="30" t="s">
        <v>357</v>
      </c>
      <c r="D5" s="30">
        <v>97</v>
      </c>
      <c r="E5" s="30">
        <v>30000</v>
      </c>
      <c r="F5" s="30">
        <v>3</v>
      </c>
      <c r="G5" s="30" t="s">
        <v>665</v>
      </c>
      <c r="H5" s="30">
        <v>96.7</v>
      </c>
      <c r="I5" s="30">
        <v>33000</v>
      </c>
      <c r="J5" s="30">
        <v>3.3</v>
      </c>
      <c r="K5" s="30" t="s">
        <v>668</v>
      </c>
      <c r="L5" s="30" t="s">
        <v>666</v>
      </c>
      <c r="M5" s="30" t="s">
        <v>540</v>
      </c>
    </row>
    <row r="6" spans="1:13" x14ac:dyDescent="0.25">
      <c r="A6" s="31">
        <v>3</v>
      </c>
      <c r="B6" s="31" t="s">
        <v>361</v>
      </c>
      <c r="C6" s="31" t="s">
        <v>362</v>
      </c>
      <c r="D6" s="31">
        <v>95</v>
      </c>
      <c r="E6" s="31">
        <v>50000</v>
      </c>
      <c r="F6" s="31">
        <v>5</v>
      </c>
      <c r="G6" s="31" t="s">
        <v>665</v>
      </c>
      <c r="H6" s="31">
        <v>98.1</v>
      </c>
      <c r="I6" s="31">
        <v>19000</v>
      </c>
      <c r="J6" s="31">
        <v>1.9</v>
      </c>
      <c r="K6" s="31" t="s">
        <v>444</v>
      </c>
      <c r="L6" s="31" t="s">
        <v>444</v>
      </c>
      <c r="M6" s="31" t="s">
        <v>669</v>
      </c>
    </row>
  </sheetData>
  <mergeCells count="2">
    <mergeCell ref="A1:M1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6F50-E411-45D6-A792-EF8F5F5441B4}">
  <dimension ref="A1:L6"/>
  <sheetViews>
    <sheetView showGridLines="0" workbookViewId="0">
      <pane ySplit="3" topLeftCell="A4" activePane="bottomLeft" state="frozen"/>
      <selection pane="bottomLeft" activeCell="B19" sqref="B19"/>
    </sheetView>
  </sheetViews>
  <sheetFormatPr defaultRowHeight="15" x14ac:dyDescent="0.25"/>
  <cols>
    <col min="1" max="1" width="6" style="17" customWidth="1"/>
    <col min="2" max="2" width="28" style="17" customWidth="1"/>
    <col min="3" max="5" width="18" style="17" customWidth="1"/>
    <col min="6" max="8" width="14" style="17" customWidth="1"/>
    <col min="9" max="9" width="22" style="17" customWidth="1"/>
    <col min="10" max="10" width="18" style="17" customWidth="1"/>
    <col min="11" max="11" width="12" style="17" customWidth="1"/>
    <col min="12" max="12" width="14" style="17" customWidth="1"/>
    <col min="13" max="16384" width="9.140625" style="17"/>
  </cols>
  <sheetData>
    <row r="1" spans="1:12" ht="24" customHeight="1" x14ac:dyDescent="0.25">
      <c r="A1" s="37" t="s">
        <v>615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14.1" customHeight="1" x14ac:dyDescent="0.25">
      <c r="A2" s="39" t="s">
        <v>616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ht="32.1" customHeight="1" x14ac:dyDescent="0.25">
      <c r="A3" s="18" t="s">
        <v>0</v>
      </c>
      <c r="B3" s="18" t="s">
        <v>617</v>
      </c>
      <c r="C3" s="18" t="s">
        <v>618</v>
      </c>
      <c r="D3" s="18" t="s">
        <v>619</v>
      </c>
      <c r="E3" s="18" t="s">
        <v>620</v>
      </c>
      <c r="F3" s="18" t="s">
        <v>621</v>
      </c>
      <c r="G3" s="18" t="s">
        <v>622</v>
      </c>
      <c r="H3" s="18" t="s">
        <v>623</v>
      </c>
      <c r="I3" s="18" t="s">
        <v>624</v>
      </c>
      <c r="J3" s="18" t="s">
        <v>625</v>
      </c>
      <c r="K3" s="18" t="s">
        <v>626</v>
      </c>
      <c r="L3" s="18" t="s">
        <v>414</v>
      </c>
    </row>
    <row r="4" spans="1:12" x14ac:dyDescent="0.25">
      <c r="A4" s="31">
        <v>1</v>
      </c>
      <c r="B4" s="31" t="s">
        <v>627</v>
      </c>
      <c r="C4" s="31" t="s">
        <v>628</v>
      </c>
      <c r="D4" s="31" t="s">
        <v>629</v>
      </c>
      <c r="E4" s="31" t="s">
        <v>630</v>
      </c>
      <c r="F4" s="31" t="s">
        <v>631</v>
      </c>
      <c r="G4" s="31" t="s">
        <v>632</v>
      </c>
      <c r="H4" s="31" t="s">
        <v>633</v>
      </c>
      <c r="I4" s="31" t="s">
        <v>634</v>
      </c>
      <c r="J4" s="31" t="s">
        <v>635</v>
      </c>
      <c r="K4" s="31" t="s">
        <v>636</v>
      </c>
      <c r="L4" s="31" t="s">
        <v>444</v>
      </c>
    </row>
    <row r="5" spans="1:12" x14ac:dyDescent="0.25">
      <c r="A5" s="30">
        <v>2</v>
      </c>
      <c r="B5" s="30" t="s">
        <v>637</v>
      </c>
      <c r="C5" s="30" t="s">
        <v>638</v>
      </c>
      <c r="D5" s="30" t="s">
        <v>639</v>
      </c>
      <c r="E5" s="30" t="s">
        <v>5</v>
      </c>
      <c r="F5" s="30" t="s">
        <v>640</v>
      </c>
      <c r="G5" s="30" t="s">
        <v>641</v>
      </c>
      <c r="H5" s="30" t="s">
        <v>642</v>
      </c>
      <c r="I5" s="30" t="s">
        <v>634</v>
      </c>
      <c r="J5" s="30" t="s">
        <v>643</v>
      </c>
      <c r="K5" s="30" t="s">
        <v>636</v>
      </c>
      <c r="L5" s="30" t="s">
        <v>644</v>
      </c>
    </row>
    <row r="6" spans="1:12" x14ac:dyDescent="0.25">
      <c r="A6" s="29">
        <v>3</v>
      </c>
      <c r="B6" s="29" t="s">
        <v>645</v>
      </c>
      <c r="C6" s="29" t="s">
        <v>646</v>
      </c>
      <c r="D6" s="29" t="s">
        <v>647</v>
      </c>
      <c r="E6" s="29" t="s">
        <v>122</v>
      </c>
      <c r="F6" s="29" t="s">
        <v>648</v>
      </c>
      <c r="G6" s="29" t="s">
        <v>649</v>
      </c>
      <c r="H6" s="29" t="s">
        <v>650</v>
      </c>
      <c r="I6" s="29" t="s">
        <v>651</v>
      </c>
      <c r="J6" s="29" t="s">
        <v>652</v>
      </c>
      <c r="K6" s="29" t="s">
        <v>653</v>
      </c>
      <c r="L6" s="29" t="s">
        <v>654</v>
      </c>
    </row>
  </sheetData>
  <mergeCells count="2">
    <mergeCell ref="A1:L1"/>
    <mergeCell ref="A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90A85-0A5B-48AC-84CC-AE8637291F12}">
  <dimension ref="A1:L18"/>
  <sheetViews>
    <sheetView showGridLines="0" workbookViewId="0">
      <pane ySplit="3" topLeftCell="A4" activePane="bottomLeft" state="frozen"/>
      <selection pane="bottomLeft" activeCell="C15" sqref="C15"/>
    </sheetView>
  </sheetViews>
  <sheetFormatPr defaultRowHeight="15" x14ac:dyDescent="0.25"/>
  <cols>
    <col min="1" max="1" width="9" style="17" customWidth="1"/>
    <col min="2" max="2" width="20" style="17" customWidth="1"/>
    <col min="3" max="3" width="50" style="17" customWidth="1"/>
    <col min="4" max="4" width="55" style="17" customWidth="1"/>
    <col min="5" max="5" width="12" style="17" customWidth="1"/>
    <col min="6" max="7" width="22" style="17" customWidth="1"/>
    <col min="8" max="8" width="12" style="17" customWidth="1"/>
    <col min="9" max="9" width="35" style="17" customWidth="1"/>
    <col min="10" max="10" width="12" style="17" customWidth="1"/>
    <col min="11" max="11" width="8" style="17" customWidth="1"/>
    <col min="12" max="16384" width="9.140625" style="17"/>
  </cols>
  <sheetData>
    <row r="1" spans="1:12" ht="24" customHeight="1" x14ac:dyDescent="0.25">
      <c r="A1" s="37" t="s">
        <v>889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20.100000000000001" customHeight="1" x14ac:dyDescent="0.25">
      <c r="A2" s="42" t="s">
        <v>568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ht="32.1" customHeight="1" x14ac:dyDescent="0.25">
      <c r="A3" s="28" t="s">
        <v>0</v>
      </c>
      <c r="B3" s="28" t="s">
        <v>457</v>
      </c>
      <c r="C3" s="28" t="s">
        <v>569</v>
      </c>
      <c r="D3" s="28" t="s">
        <v>521</v>
      </c>
      <c r="E3" s="28" t="s">
        <v>414</v>
      </c>
      <c r="F3" s="28" t="s">
        <v>570</v>
      </c>
      <c r="G3" s="28" t="s">
        <v>571</v>
      </c>
      <c r="H3" s="28" t="s">
        <v>572</v>
      </c>
      <c r="I3" s="28" t="s">
        <v>522</v>
      </c>
      <c r="J3" s="28" t="s">
        <v>573</v>
      </c>
      <c r="K3" s="28" t="s">
        <v>574</v>
      </c>
    </row>
    <row r="4" spans="1:12" x14ac:dyDescent="0.25">
      <c r="A4" s="29">
        <v>1</v>
      </c>
      <c r="B4" s="29" t="s">
        <v>350</v>
      </c>
      <c r="C4" s="29" t="s">
        <v>575</v>
      </c>
      <c r="D4" s="29" t="s">
        <v>576</v>
      </c>
      <c r="E4" s="29" t="s">
        <v>577</v>
      </c>
      <c r="F4" s="29" t="s">
        <v>443</v>
      </c>
      <c r="G4" s="29" t="s">
        <v>398</v>
      </c>
      <c r="H4" s="29" t="s">
        <v>427</v>
      </c>
      <c r="I4" s="29" t="s">
        <v>578</v>
      </c>
      <c r="J4" s="29"/>
      <c r="K4" s="29"/>
    </row>
    <row r="5" spans="1:12" x14ac:dyDescent="0.25">
      <c r="A5" s="30">
        <v>2</v>
      </c>
      <c r="B5" s="30" t="s">
        <v>361</v>
      </c>
      <c r="C5" s="30" t="s">
        <v>579</v>
      </c>
      <c r="D5" s="30" t="s">
        <v>580</v>
      </c>
      <c r="E5" s="30" t="s">
        <v>581</v>
      </c>
      <c r="F5" s="30" t="s">
        <v>396</v>
      </c>
      <c r="G5" s="30" t="s">
        <v>582</v>
      </c>
      <c r="H5" s="30" t="s">
        <v>583</v>
      </c>
      <c r="I5" s="30" t="s">
        <v>584</v>
      </c>
      <c r="J5" s="30"/>
      <c r="K5" s="30"/>
    </row>
    <row r="6" spans="1:12" x14ac:dyDescent="0.25">
      <c r="A6" s="31">
        <v>3</v>
      </c>
      <c r="B6" s="31" t="s">
        <v>356</v>
      </c>
      <c r="C6" s="31" t="s">
        <v>585</v>
      </c>
      <c r="D6" s="31" t="s">
        <v>586</v>
      </c>
      <c r="E6" s="31" t="s">
        <v>587</v>
      </c>
      <c r="F6" s="31" t="s">
        <v>398</v>
      </c>
      <c r="G6" s="31" t="s">
        <v>443</v>
      </c>
      <c r="H6" s="31" t="s">
        <v>511</v>
      </c>
      <c r="I6" s="31" t="s">
        <v>588</v>
      </c>
      <c r="J6" s="31" t="s">
        <v>509</v>
      </c>
      <c r="K6" s="31"/>
    </row>
    <row r="8" spans="1:12" ht="6" customHeight="1" x14ac:dyDescent="0.25"/>
    <row r="9" spans="1:12" ht="20.100000000000001" customHeight="1" x14ac:dyDescent="0.25"/>
    <row r="10" spans="1:12" ht="32.1" customHeight="1" x14ac:dyDescent="0.25"/>
    <row r="11" spans="1:12" ht="24" customHeight="1" x14ac:dyDescent="0.25"/>
    <row r="12" spans="1:12" ht="24" customHeight="1" x14ac:dyDescent="0.25"/>
    <row r="13" spans="1:12" ht="24" customHeight="1" x14ac:dyDescent="0.25"/>
    <row r="14" spans="1:12" ht="24" customHeight="1" x14ac:dyDescent="0.25"/>
    <row r="15" spans="1:12" ht="24" customHeight="1" x14ac:dyDescent="0.25"/>
    <row r="16" spans="1:12" ht="24" customHeight="1" x14ac:dyDescent="0.25"/>
    <row r="17" ht="24" customHeight="1" x14ac:dyDescent="0.25"/>
    <row r="18" ht="24" customHeight="1" x14ac:dyDescent="0.25"/>
  </sheetData>
  <mergeCells count="2">
    <mergeCell ref="A1:L1"/>
    <mergeCell ref="A2:L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A01E-9372-4257-B15C-4B9D56FA0041}">
  <dimension ref="A1:P12"/>
  <sheetViews>
    <sheetView workbookViewId="0">
      <selection activeCell="G11" sqref="G11"/>
    </sheetView>
  </sheetViews>
  <sheetFormatPr defaultRowHeight="15" x14ac:dyDescent="0.25"/>
  <cols>
    <col min="2" max="2" width="15.85546875" customWidth="1"/>
    <col min="4" max="4" width="13.140625" customWidth="1"/>
    <col min="5" max="5" width="15.85546875" customWidth="1"/>
    <col min="6" max="6" width="19.7109375" customWidth="1"/>
    <col min="7" max="7" width="25.85546875" customWidth="1"/>
    <col min="8" max="8" width="47.140625" customWidth="1"/>
    <col min="9" max="9" width="37" customWidth="1"/>
    <col min="10" max="10" width="48.5703125" customWidth="1"/>
    <col min="11" max="11" width="43.85546875" customWidth="1"/>
    <col min="12" max="12" width="32.42578125" customWidth="1"/>
  </cols>
  <sheetData>
    <row r="1" spans="1:16" x14ac:dyDescent="0.25">
      <c r="A1" s="37" t="s">
        <v>888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17"/>
    </row>
    <row r="2" spans="1:16" x14ac:dyDescent="0.25">
      <c r="A2" s="36" t="s">
        <v>589</v>
      </c>
      <c r="B2" s="36"/>
      <c r="C2" s="36"/>
      <c r="D2" s="36"/>
      <c r="E2" s="36" t="s">
        <v>592</v>
      </c>
      <c r="F2" s="36" t="s">
        <v>595</v>
      </c>
      <c r="G2" s="36" t="s">
        <v>598</v>
      </c>
      <c r="H2" s="36" t="s">
        <v>601</v>
      </c>
      <c r="I2" s="36" t="s">
        <v>604</v>
      </c>
      <c r="J2" s="36" t="s">
        <v>607</v>
      </c>
      <c r="K2" s="36" t="s">
        <v>609</v>
      </c>
      <c r="L2" s="36" t="s">
        <v>612</v>
      </c>
      <c r="M2" s="36"/>
      <c r="N2" s="36"/>
      <c r="O2" s="36"/>
      <c r="P2" s="17"/>
    </row>
    <row r="3" spans="1:16" ht="36" x14ac:dyDescent="0.25">
      <c r="A3" s="27" t="s">
        <v>0</v>
      </c>
      <c r="B3" s="27" t="s">
        <v>897</v>
      </c>
      <c r="C3" s="27" t="s">
        <v>898</v>
      </c>
      <c r="D3" s="27" t="s">
        <v>409</v>
      </c>
      <c r="E3" s="27" t="s">
        <v>899</v>
      </c>
      <c r="F3" s="27" t="s">
        <v>900</v>
      </c>
      <c r="G3" s="27" t="s">
        <v>901</v>
      </c>
      <c r="H3" s="27" t="s">
        <v>902</v>
      </c>
      <c r="I3" s="27" t="s">
        <v>903</v>
      </c>
      <c r="J3" s="27" t="s">
        <v>904</v>
      </c>
      <c r="K3" s="27" t="s">
        <v>906</v>
      </c>
      <c r="L3" s="27" t="s">
        <v>905</v>
      </c>
      <c r="M3" s="27" t="s">
        <v>907</v>
      </c>
      <c r="N3" s="27" t="s">
        <v>908</v>
      </c>
      <c r="O3" s="27" t="s">
        <v>909</v>
      </c>
      <c r="P3" s="17"/>
    </row>
    <row r="4" spans="1:16" ht="36" x14ac:dyDescent="0.25">
      <c r="A4" s="19">
        <v>1</v>
      </c>
      <c r="B4" s="19"/>
      <c r="C4" s="19"/>
      <c r="D4" s="19"/>
      <c r="E4" s="19" t="s">
        <v>593</v>
      </c>
      <c r="F4" s="19" t="s">
        <v>596</v>
      </c>
      <c r="G4" s="19" t="s">
        <v>599</v>
      </c>
      <c r="H4" s="19" t="s">
        <v>602</v>
      </c>
      <c r="I4" s="17" t="s">
        <v>605</v>
      </c>
      <c r="J4" s="17" t="s">
        <v>608</v>
      </c>
      <c r="K4" s="17" t="s">
        <v>610</v>
      </c>
      <c r="L4" s="17" t="s">
        <v>613</v>
      </c>
      <c r="M4" s="17"/>
      <c r="N4" s="17"/>
      <c r="O4" s="17"/>
      <c r="P4" s="17"/>
    </row>
    <row r="5" spans="1:16" ht="75" x14ac:dyDescent="0.25">
      <c r="A5" s="20">
        <v>2</v>
      </c>
      <c r="B5" s="20"/>
      <c r="C5" s="20"/>
      <c r="D5" s="20"/>
      <c r="E5" s="20" t="s">
        <v>594</v>
      </c>
      <c r="F5" s="20" t="s">
        <v>597</v>
      </c>
      <c r="G5" s="20" t="s">
        <v>600</v>
      </c>
      <c r="H5" s="20" t="s">
        <v>603</v>
      </c>
      <c r="I5" s="51" t="s">
        <v>606</v>
      </c>
      <c r="J5" s="51" t="s">
        <v>910</v>
      </c>
      <c r="K5" s="51" t="s">
        <v>611</v>
      </c>
      <c r="L5" s="51" t="s">
        <v>614</v>
      </c>
      <c r="M5" s="17"/>
      <c r="N5" s="17"/>
      <c r="O5" s="17"/>
      <c r="P5" s="17"/>
    </row>
    <row r="6" spans="1:16" x14ac:dyDescent="0.25">
      <c r="A6" s="19">
        <v>3</v>
      </c>
      <c r="B6" s="19"/>
      <c r="C6" s="19"/>
      <c r="D6" s="19"/>
      <c r="E6" s="19"/>
      <c r="F6" s="19"/>
      <c r="G6" s="19"/>
      <c r="H6" s="19"/>
      <c r="I6" s="17"/>
      <c r="J6" s="17"/>
      <c r="K6" s="17"/>
      <c r="L6" s="17"/>
      <c r="M6" s="17"/>
      <c r="N6" s="17"/>
      <c r="O6" s="17"/>
      <c r="P6" s="17"/>
    </row>
    <row r="7" spans="1:16" x14ac:dyDescent="0.25">
      <c r="A7" s="20">
        <v>4</v>
      </c>
      <c r="B7" s="20"/>
      <c r="C7" s="20"/>
      <c r="D7" s="20"/>
      <c r="E7" s="20"/>
      <c r="F7" s="20"/>
      <c r="G7" s="20"/>
      <c r="H7" s="20"/>
      <c r="I7" s="17"/>
      <c r="J7" s="17"/>
      <c r="K7" s="17"/>
      <c r="L7" s="17"/>
      <c r="M7" s="17"/>
      <c r="N7" s="17"/>
      <c r="O7" s="17"/>
      <c r="P7" s="17"/>
    </row>
    <row r="8" spans="1:16" x14ac:dyDescent="0.25">
      <c r="A8" s="19">
        <v>5</v>
      </c>
      <c r="B8" s="19"/>
      <c r="C8" s="19"/>
      <c r="D8" s="19"/>
      <c r="E8" s="19"/>
      <c r="F8" s="19"/>
      <c r="G8" s="19"/>
      <c r="H8" s="19"/>
      <c r="I8" s="17"/>
      <c r="J8" s="17"/>
      <c r="K8" s="17"/>
      <c r="L8" s="17"/>
      <c r="M8" s="17"/>
      <c r="N8" s="17"/>
      <c r="O8" s="17"/>
      <c r="P8" s="17"/>
    </row>
    <row r="9" spans="1:16" x14ac:dyDescent="0.25">
      <c r="A9" s="20">
        <v>6</v>
      </c>
      <c r="B9" s="20"/>
      <c r="C9" s="20"/>
      <c r="D9" s="20"/>
      <c r="E9" s="20"/>
      <c r="F9" s="20"/>
      <c r="G9" s="20"/>
      <c r="H9" s="20"/>
      <c r="I9" s="17"/>
      <c r="J9" s="17"/>
      <c r="K9" s="17"/>
      <c r="L9" s="17"/>
      <c r="M9" s="17"/>
      <c r="N9" s="17"/>
      <c r="O9" s="17"/>
      <c r="P9" s="17"/>
    </row>
    <row r="10" spans="1:16" x14ac:dyDescent="0.25">
      <c r="A10" s="19">
        <v>7</v>
      </c>
      <c r="B10" s="19"/>
      <c r="C10" s="19"/>
      <c r="D10" s="19"/>
      <c r="E10" s="19"/>
      <c r="F10" s="19"/>
      <c r="G10" s="19"/>
      <c r="H10" s="19"/>
      <c r="I10" s="17"/>
      <c r="J10" s="17"/>
      <c r="K10" s="17"/>
      <c r="L10" s="17"/>
      <c r="M10" s="17"/>
      <c r="N10" s="17"/>
      <c r="O10" s="17"/>
      <c r="P10" s="17"/>
    </row>
    <row r="11" spans="1:16" x14ac:dyDescent="0.25">
      <c r="A11" s="20">
        <v>8</v>
      </c>
      <c r="B11" s="20"/>
      <c r="C11" s="20"/>
      <c r="D11" s="20"/>
      <c r="E11" s="20"/>
      <c r="F11" s="20"/>
      <c r="G11" s="20"/>
      <c r="H11" s="20"/>
      <c r="I11" s="17"/>
      <c r="J11" s="17"/>
      <c r="K11" s="17"/>
      <c r="L11" s="17"/>
      <c r="M11" s="17"/>
      <c r="N11" s="17"/>
      <c r="O11" s="17"/>
      <c r="P11" s="17"/>
    </row>
    <row r="12" spans="1:16" x14ac:dyDescent="0.25"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BD2C-18D9-4B45-9DCA-98705F1A2814}">
  <dimension ref="A1:K17"/>
  <sheetViews>
    <sheetView showGridLines="0" workbookViewId="0">
      <pane ySplit="3" topLeftCell="A4" activePane="bottomLeft" state="frozen"/>
      <selection pane="bottomLeft" activeCell="G10" sqref="G10"/>
    </sheetView>
  </sheetViews>
  <sheetFormatPr defaultRowHeight="15" x14ac:dyDescent="0.25"/>
  <cols>
    <col min="1" max="1" width="9.140625" style="17"/>
    <col min="2" max="2" width="24" style="17" customWidth="1"/>
    <col min="3" max="3" width="14" style="17" customWidth="1"/>
    <col min="4" max="4" width="10" style="17" customWidth="1"/>
    <col min="5" max="6" width="8" style="17" customWidth="1"/>
    <col min="7" max="8" width="12" style="17" customWidth="1"/>
    <col min="9" max="9" width="20" style="17" customWidth="1"/>
    <col min="10" max="10" width="22" style="17" customWidth="1"/>
    <col min="11" max="11" width="14" style="17" customWidth="1"/>
    <col min="12" max="20" width="9.140625" style="17"/>
    <col min="21" max="21" width="15" style="17" customWidth="1"/>
    <col min="22" max="23" width="9.140625" style="17"/>
    <col min="24" max="24" width="10.5703125" style="17" customWidth="1"/>
    <col min="25" max="30" width="9.140625" style="17"/>
    <col min="31" max="31" width="17" style="17" customWidth="1"/>
    <col min="32" max="32" width="10.85546875" style="17" customWidth="1"/>
    <col min="33" max="16384" width="9.140625" style="17"/>
  </cols>
  <sheetData>
    <row r="1" spans="1:11" ht="24" customHeight="1" x14ac:dyDescent="0.25">
      <c r="A1" s="37" t="s">
        <v>550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20.100000000000001" customHeight="1" x14ac:dyDescent="0.25">
      <c r="A2" s="43" t="s">
        <v>551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32.1" customHeight="1" x14ac:dyDescent="0.25">
      <c r="A3" s="18" t="s">
        <v>0</v>
      </c>
      <c r="B3" s="18" t="s">
        <v>124</v>
      </c>
      <c r="C3" s="18" t="s">
        <v>455</v>
      </c>
      <c r="D3" s="18" t="s">
        <v>457</v>
      </c>
      <c r="E3" s="18" t="s">
        <v>554</v>
      </c>
      <c r="F3" s="18" t="s">
        <v>444</v>
      </c>
      <c r="G3" s="18" t="s">
        <v>446</v>
      </c>
      <c r="H3" s="18" t="s">
        <v>527</v>
      </c>
      <c r="I3" s="18" t="s">
        <v>526</v>
      </c>
      <c r="J3" s="18" t="s">
        <v>555</v>
      </c>
      <c r="K3" s="18" t="s">
        <v>121</v>
      </c>
    </row>
    <row r="4" spans="1:11" ht="48" customHeight="1" x14ac:dyDescent="0.25">
      <c r="A4" s="19">
        <v>1</v>
      </c>
      <c r="B4" s="19" t="s">
        <v>127</v>
      </c>
      <c r="C4" s="19" t="s">
        <v>418</v>
      </c>
      <c r="D4" s="19" t="s">
        <v>350</v>
      </c>
      <c r="E4" s="19">
        <v>90</v>
      </c>
      <c r="F4" s="19">
        <v>83</v>
      </c>
      <c r="G4" s="19">
        <v>7</v>
      </c>
      <c r="H4" s="19">
        <f>G4/E4*100</f>
        <v>7.7777777777777777</v>
      </c>
      <c r="I4" s="19">
        <f>ROUND(F4/E4*1000000,0)</f>
        <v>922222</v>
      </c>
      <c r="J4" s="19" t="s">
        <v>137</v>
      </c>
      <c r="K4" s="19"/>
    </row>
    <row r="5" spans="1:11" ht="24" customHeight="1" x14ac:dyDescent="0.25">
      <c r="A5" s="20">
        <v>2</v>
      </c>
      <c r="B5" s="20" t="s">
        <v>130</v>
      </c>
      <c r="C5" s="20" t="s">
        <v>418</v>
      </c>
      <c r="D5" s="20" t="s">
        <v>350</v>
      </c>
      <c r="E5" s="20">
        <v>85</v>
      </c>
      <c r="F5" s="20">
        <v>80</v>
      </c>
      <c r="G5" s="20">
        <v>5</v>
      </c>
      <c r="H5" s="20">
        <f>G5/E5*100</f>
        <v>5.8823529411764701</v>
      </c>
      <c r="I5" s="20">
        <f>ROUND(F5/E5*1000000,0)</f>
        <v>941176</v>
      </c>
      <c r="J5" s="20" t="s">
        <v>148</v>
      </c>
      <c r="K5" s="20"/>
    </row>
    <row r="6" spans="1:11" ht="24" customHeight="1" x14ac:dyDescent="0.25">
      <c r="A6" s="19">
        <v>3</v>
      </c>
      <c r="B6" s="19" t="s">
        <v>132</v>
      </c>
      <c r="C6" s="19" t="s">
        <v>418</v>
      </c>
      <c r="D6" s="19" t="s">
        <v>350</v>
      </c>
      <c r="E6" s="19">
        <v>75</v>
      </c>
      <c r="F6" s="19">
        <v>70</v>
      </c>
      <c r="G6" s="19">
        <v>5</v>
      </c>
      <c r="H6" s="19">
        <f>G6/E6*100</f>
        <v>6.666666666666667</v>
      </c>
      <c r="I6" s="19">
        <f>ROUND(F6/E6*1000000,0)</f>
        <v>933333</v>
      </c>
      <c r="J6" s="19" t="s">
        <v>157</v>
      </c>
      <c r="K6" s="19"/>
    </row>
    <row r="8" spans="1:11" ht="6" customHeight="1" x14ac:dyDescent="0.25"/>
    <row r="9" spans="1:11" ht="20.100000000000001" customHeight="1" x14ac:dyDescent="0.25"/>
    <row r="10" spans="1:11" ht="32.1" customHeight="1" x14ac:dyDescent="0.25"/>
    <row r="15" spans="1:11" ht="6" customHeight="1" x14ac:dyDescent="0.25"/>
    <row r="16" spans="1:11" ht="20.100000000000001" customHeight="1" x14ac:dyDescent="0.25"/>
    <row r="17" ht="32.1" customHeight="1" x14ac:dyDescent="0.25"/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71B10-451F-4A47-A5C0-29F5A7A64DD8}">
  <dimension ref="A1:AF6"/>
  <sheetViews>
    <sheetView workbookViewId="0">
      <selection activeCell="N5" sqref="N5"/>
    </sheetView>
  </sheetViews>
  <sheetFormatPr defaultRowHeight="15" x14ac:dyDescent="0.25"/>
  <sheetData>
    <row r="1" spans="1:32" x14ac:dyDescent="0.25">
      <c r="A1" s="37" t="s">
        <v>550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x14ac:dyDescent="0.25">
      <c r="A2" s="43" t="s">
        <v>552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32" ht="36" x14ac:dyDescent="0.25">
      <c r="A3" s="18" t="s">
        <v>896</v>
      </c>
      <c r="B3" s="18" t="s">
        <v>556</v>
      </c>
      <c r="C3" s="18" t="s">
        <v>524</v>
      </c>
      <c r="D3" s="18" t="s">
        <v>457</v>
      </c>
      <c r="E3" s="18" t="s">
        <v>554</v>
      </c>
      <c r="F3" s="18" t="s">
        <v>444</v>
      </c>
      <c r="G3" s="18" t="s">
        <v>446</v>
      </c>
      <c r="H3" s="18" t="s">
        <v>527</v>
      </c>
      <c r="I3" s="18" t="s">
        <v>526</v>
      </c>
      <c r="J3" s="18" t="s">
        <v>557</v>
      </c>
      <c r="K3" s="18" t="s">
        <v>414</v>
      </c>
    </row>
    <row r="4" spans="1:32" ht="48" x14ac:dyDescent="0.25">
      <c r="A4" s="19">
        <v>1</v>
      </c>
      <c r="B4" s="19" t="s">
        <v>379</v>
      </c>
      <c r="C4" s="19" t="s">
        <v>533</v>
      </c>
      <c r="D4" s="19" t="s">
        <v>350</v>
      </c>
      <c r="E4" s="19">
        <v>250</v>
      </c>
      <c r="F4" s="19">
        <v>232</v>
      </c>
      <c r="G4" s="19">
        <v>18</v>
      </c>
      <c r="H4" s="19">
        <f>G4/E4*100</f>
        <v>7.1999999999999993</v>
      </c>
      <c r="I4" s="19">
        <f>ROUND(F4/E4*1000000,0)</f>
        <v>928000</v>
      </c>
      <c r="J4" s="19" t="s">
        <v>561</v>
      </c>
      <c r="K4" s="19" t="s">
        <v>540</v>
      </c>
    </row>
    <row r="5" spans="1:32" ht="24" x14ac:dyDescent="0.25">
      <c r="A5" s="20">
        <v>2</v>
      </c>
      <c r="B5" s="20" t="s">
        <v>380</v>
      </c>
      <c r="C5" s="20" t="s">
        <v>533</v>
      </c>
      <c r="D5" s="20" t="s">
        <v>356</v>
      </c>
      <c r="E5" s="20">
        <v>180</v>
      </c>
      <c r="F5" s="20">
        <v>174</v>
      </c>
      <c r="G5" s="20">
        <v>6</v>
      </c>
      <c r="H5" s="20">
        <f>G5/E5*100</f>
        <v>3.3333333333333335</v>
      </c>
      <c r="I5" s="20">
        <f>ROUND(F5/E5*1000000,0)</f>
        <v>966667</v>
      </c>
      <c r="J5" s="20" t="s">
        <v>563</v>
      </c>
      <c r="K5" s="20" t="s">
        <v>540</v>
      </c>
    </row>
    <row r="6" spans="1:32" ht="24" x14ac:dyDescent="0.25">
      <c r="A6" s="19">
        <v>3</v>
      </c>
      <c r="B6" s="19" t="s">
        <v>381</v>
      </c>
      <c r="C6" s="19" t="s">
        <v>533</v>
      </c>
      <c r="D6" s="19" t="s">
        <v>361</v>
      </c>
      <c r="E6" s="19">
        <v>150</v>
      </c>
      <c r="F6" s="19">
        <v>140</v>
      </c>
      <c r="G6" s="19">
        <v>10</v>
      </c>
      <c r="H6" s="19">
        <f>G6/E6*100</f>
        <v>6.666666666666667</v>
      </c>
      <c r="I6" s="19">
        <f>ROUND(F6/E6*1000000,0)</f>
        <v>933333</v>
      </c>
      <c r="J6" s="19" t="s">
        <v>565</v>
      </c>
      <c r="K6" s="19" t="s">
        <v>566</v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DF03-5B8E-4A59-AA46-1AB6C5DB5D2D}">
  <dimension ref="A1:AF6"/>
  <sheetViews>
    <sheetView workbookViewId="0">
      <selection activeCell="M5" sqref="M5"/>
    </sheetView>
  </sheetViews>
  <sheetFormatPr defaultRowHeight="15" x14ac:dyDescent="0.25"/>
  <cols>
    <col min="9" max="9" width="21.5703125" customWidth="1"/>
    <col min="10" max="10" width="13.28515625" customWidth="1"/>
  </cols>
  <sheetData>
    <row r="1" spans="1:32" x14ac:dyDescent="0.25">
      <c r="A1" s="37" t="s">
        <v>550</v>
      </c>
      <c r="B1" s="37"/>
      <c r="C1" s="37"/>
      <c r="D1" s="37"/>
      <c r="E1" s="37"/>
      <c r="F1" s="37"/>
      <c r="G1" s="37"/>
      <c r="H1" s="37"/>
      <c r="I1" s="37"/>
      <c r="J1" s="3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x14ac:dyDescent="0.25">
      <c r="A2" s="43" t="s">
        <v>553</v>
      </c>
      <c r="B2" s="43"/>
      <c r="C2" s="43"/>
      <c r="D2" s="43"/>
      <c r="E2" s="43"/>
      <c r="F2" s="43"/>
      <c r="G2" s="43"/>
      <c r="H2" s="43"/>
      <c r="I2" s="43"/>
      <c r="J2" s="43"/>
    </row>
    <row r="3" spans="1:32" x14ac:dyDescent="0.25">
      <c r="A3" s="18" t="s">
        <v>0</v>
      </c>
      <c r="B3" s="18" t="s">
        <v>558</v>
      </c>
      <c r="C3" s="18" t="s">
        <v>559</v>
      </c>
      <c r="D3" s="18" t="s">
        <v>554</v>
      </c>
      <c r="E3" s="18" t="s">
        <v>444</v>
      </c>
      <c r="F3" s="18" t="s">
        <v>446</v>
      </c>
      <c r="G3" s="18" t="s">
        <v>527</v>
      </c>
      <c r="H3" s="18" t="s">
        <v>526</v>
      </c>
      <c r="I3" s="18" t="s">
        <v>560</v>
      </c>
      <c r="J3" s="18" t="s">
        <v>121</v>
      </c>
    </row>
    <row r="4" spans="1:32" ht="48" x14ac:dyDescent="0.25">
      <c r="A4" s="19">
        <v>1</v>
      </c>
      <c r="B4" s="19" t="s">
        <v>392</v>
      </c>
      <c r="C4" s="19" t="s">
        <v>393</v>
      </c>
      <c r="D4" s="19">
        <v>250</v>
      </c>
      <c r="E4" s="19">
        <v>235</v>
      </c>
      <c r="F4" s="19">
        <v>15</v>
      </c>
      <c r="G4" s="19" t="str">
        <f ca="1">G4/E4*100</f>
        <v/>
      </c>
      <c r="H4" s="19">
        <f>ROUND(F4/E4*1000000,0)</f>
        <v>63830</v>
      </c>
      <c r="I4" s="19" t="s">
        <v>562</v>
      </c>
      <c r="J4" s="19"/>
    </row>
    <row r="5" spans="1:32" x14ac:dyDescent="0.25">
      <c r="A5" s="20">
        <v>2</v>
      </c>
      <c r="B5" s="20" t="s">
        <v>396</v>
      </c>
      <c r="C5" s="20" t="s">
        <v>393</v>
      </c>
      <c r="D5" s="20">
        <v>200</v>
      </c>
      <c r="E5" s="20">
        <v>194</v>
      </c>
      <c r="F5" s="20">
        <v>6</v>
      </c>
      <c r="G5" s="20" t="str">
        <f ca="1">G5/E5*100</f>
        <v/>
      </c>
      <c r="H5" s="20">
        <f>ROUND(F5/E5*1000000,0)</f>
        <v>30928</v>
      </c>
      <c r="I5" s="20" t="s">
        <v>564</v>
      </c>
      <c r="J5" s="20"/>
    </row>
    <row r="6" spans="1:32" x14ac:dyDescent="0.25">
      <c r="A6" s="19">
        <v>3</v>
      </c>
      <c r="B6" s="19" t="s">
        <v>398</v>
      </c>
      <c r="C6" s="19" t="s">
        <v>393</v>
      </c>
      <c r="D6" s="19">
        <v>150</v>
      </c>
      <c r="E6" s="19">
        <v>143</v>
      </c>
      <c r="F6" s="19">
        <v>7</v>
      </c>
      <c r="G6" s="19" t="str">
        <f ca="1">G6/E6*100</f>
        <v/>
      </c>
      <c r="H6" s="19">
        <f>ROUND(F6/E6*1000000,0)</f>
        <v>48951</v>
      </c>
      <c r="I6" s="19" t="s">
        <v>567</v>
      </c>
      <c r="J6" s="19"/>
    </row>
  </sheetData>
  <mergeCells count="2">
    <mergeCell ref="A2:J2"/>
    <mergeCell ref="A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978CB-4265-413D-9529-E91CEC86C227}">
  <dimension ref="A1:K17"/>
  <sheetViews>
    <sheetView showGridLines="0" workbookViewId="0">
      <pane ySplit="3" topLeftCell="A4" activePane="bottomLeft" state="frozen"/>
      <selection pane="bottomLeft" activeCell="M7" sqref="M7"/>
    </sheetView>
  </sheetViews>
  <sheetFormatPr defaultRowHeight="15" x14ac:dyDescent="0.25"/>
  <cols>
    <col min="1" max="1" width="9.140625" style="17"/>
    <col min="2" max="2" width="12" style="17" customWidth="1"/>
    <col min="3" max="3" width="14" style="17" customWidth="1"/>
    <col min="4" max="4" width="10" style="17" customWidth="1"/>
    <col min="5" max="5" width="8" style="17" customWidth="1"/>
    <col min="6" max="6" width="14" style="17" customWidth="1"/>
    <col min="7" max="7" width="12" style="17" customWidth="1"/>
    <col min="8" max="8" width="14" style="17" customWidth="1"/>
    <col min="9" max="10" width="12" style="17" customWidth="1"/>
    <col min="11" max="11" width="14" style="17" customWidth="1"/>
    <col min="12" max="16384" width="9.140625" style="17"/>
  </cols>
  <sheetData>
    <row r="1" spans="1:11" ht="24" customHeight="1" x14ac:dyDescent="0.25">
      <c r="A1" s="37" t="s">
        <v>887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20.100000000000001" customHeight="1" x14ac:dyDescent="0.25">
      <c r="A2" s="50" t="s">
        <v>514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1" ht="32.1" customHeight="1" x14ac:dyDescent="0.25">
      <c r="A3" s="28" t="s">
        <v>0</v>
      </c>
      <c r="B3" s="28" t="s">
        <v>516</v>
      </c>
      <c r="C3" s="28" t="s">
        <v>133</v>
      </c>
      <c r="D3" s="28" t="s">
        <v>134</v>
      </c>
      <c r="E3" s="28" t="s">
        <v>517</v>
      </c>
      <c r="F3" s="28" t="s">
        <v>518</v>
      </c>
      <c r="G3" s="28" t="s">
        <v>519</v>
      </c>
      <c r="H3" s="28" t="s">
        <v>520</v>
      </c>
      <c r="I3" s="28" t="s">
        <v>521</v>
      </c>
      <c r="J3" s="28" t="s">
        <v>522</v>
      </c>
      <c r="K3" s="28" t="s">
        <v>523</v>
      </c>
    </row>
    <row r="4" spans="1:11" ht="48" customHeight="1" x14ac:dyDescent="0.25">
      <c r="A4" s="26">
        <v>1</v>
      </c>
      <c r="B4" s="26">
        <v>1</v>
      </c>
      <c r="C4" s="26" t="s">
        <v>137</v>
      </c>
      <c r="D4" s="26" t="s">
        <v>138</v>
      </c>
      <c r="E4" s="26">
        <v>45</v>
      </c>
      <c r="F4" s="26">
        <f t="shared" ref="F4:F13" si="0">E4/SUM($E$4:$E$13)*100</f>
        <v>35.714285714285715</v>
      </c>
      <c r="G4" s="26">
        <f>F4</f>
        <v>35.714285714285715</v>
      </c>
      <c r="H4" s="26" t="s">
        <v>354</v>
      </c>
      <c r="I4" s="26" t="s">
        <v>531</v>
      </c>
      <c r="J4" s="26" t="s">
        <v>532</v>
      </c>
      <c r="K4" s="26" t="s">
        <v>398</v>
      </c>
    </row>
    <row r="5" spans="1:11" ht="24" customHeight="1" x14ac:dyDescent="0.25">
      <c r="A5" s="26">
        <v>2</v>
      </c>
      <c r="B5" s="26">
        <v>2</v>
      </c>
      <c r="C5" s="26" t="s">
        <v>137</v>
      </c>
      <c r="D5" s="26" t="s">
        <v>142</v>
      </c>
      <c r="E5" s="26">
        <v>28</v>
      </c>
      <c r="F5" s="26">
        <f t="shared" si="0"/>
        <v>22.222222222222221</v>
      </c>
      <c r="G5" s="26">
        <f t="shared" ref="G5:G13" si="1">G4+F5</f>
        <v>57.936507936507937</v>
      </c>
      <c r="H5" s="26" t="s">
        <v>354</v>
      </c>
      <c r="I5" s="26" t="s">
        <v>537</v>
      </c>
      <c r="J5" s="26" t="s">
        <v>538</v>
      </c>
      <c r="K5" s="26" t="s">
        <v>396</v>
      </c>
    </row>
    <row r="6" spans="1:11" ht="24" customHeight="1" x14ac:dyDescent="0.25">
      <c r="A6" s="26">
        <v>3</v>
      </c>
      <c r="B6" s="26">
        <v>3</v>
      </c>
      <c r="C6" s="26" t="s">
        <v>148</v>
      </c>
      <c r="D6" s="26" t="s">
        <v>149</v>
      </c>
      <c r="E6" s="26">
        <v>18</v>
      </c>
      <c r="F6" s="26">
        <f t="shared" si="0"/>
        <v>14.285714285714285</v>
      </c>
      <c r="G6" s="26">
        <f t="shared" si="1"/>
        <v>72.222222222222229</v>
      </c>
      <c r="H6" s="26" t="s">
        <v>354</v>
      </c>
      <c r="I6" s="26" t="s">
        <v>537</v>
      </c>
      <c r="J6" s="26" t="s">
        <v>541</v>
      </c>
      <c r="K6" s="26" t="s">
        <v>443</v>
      </c>
    </row>
    <row r="7" spans="1:11" ht="24" customHeight="1" x14ac:dyDescent="0.25">
      <c r="A7" s="20">
        <v>4</v>
      </c>
      <c r="B7" s="20">
        <v>4</v>
      </c>
      <c r="C7" s="20" t="s">
        <v>157</v>
      </c>
      <c r="D7" s="20" t="s">
        <v>42</v>
      </c>
      <c r="E7" s="20">
        <v>12</v>
      </c>
      <c r="F7" s="20">
        <f t="shared" si="0"/>
        <v>9.5238095238095237</v>
      </c>
      <c r="G7" s="20">
        <f t="shared" si="1"/>
        <v>81.746031746031747</v>
      </c>
      <c r="H7" s="20" t="s">
        <v>508</v>
      </c>
      <c r="I7" s="20" t="s">
        <v>544</v>
      </c>
      <c r="J7" s="20" t="s">
        <v>545</v>
      </c>
      <c r="K7" s="20"/>
    </row>
    <row r="8" spans="1:11" ht="24" customHeight="1" x14ac:dyDescent="0.25">
      <c r="A8" s="19">
        <v>5</v>
      </c>
      <c r="B8" s="19">
        <v>5</v>
      </c>
      <c r="C8" s="19" t="s">
        <v>148</v>
      </c>
      <c r="D8" s="19" t="s">
        <v>151</v>
      </c>
      <c r="E8" s="19">
        <v>8</v>
      </c>
      <c r="F8" s="19">
        <f t="shared" si="0"/>
        <v>6.3492063492063489</v>
      </c>
      <c r="G8" s="19">
        <f t="shared" si="1"/>
        <v>88.095238095238102</v>
      </c>
      <c r="H8" s="19" t="s">
        <v>508</v>
      </c>
      <c r="I8" s="19" t="s">
        <v>544</v>
      </c>
      <c r="J8" s="19" t="s">
        <v>546</v>
      </c>
      <c r="K8" s="19"/>
    </row>
    <row r="9" spans="1:11" x14ac:dyDescent="0.25">
      <c r="A9" s="20">
        <v>6</v>
      </c>
      <c r="B9" s="20">
        <v>6</v>
      </c>
      <c r="C9" s="20" t="s">
        <v>180</v>
      </c>
      <c r="D9" s="20" t="s">
        <v>183</v>
      </c>
      <c r="E9" s="20">
        <v>5</v>
      </c>
      <c r="F9" s="20">
        <f t="shared" si="0"/>
        <v>3.9682539682539679</v>
      </c>
      <c r="G9" s="20">
        <f t="shared" si="1"/>
        <v>92.063492063492063</v>
      </c>
      <c r="H9" s="20" t="s">
        <v>508</v>
      </c>
      <c r="I9" s="20" t="s">
        <v>547</v>
      </c>
      <c r="J9" s="20" t="s">
        <v>548</v>
      </c>
      <c r="K9" s="20"/>
    </row>
    <row r="10" spans="1:11" ht="24" customHeight="1" x14ac:dyDescent="0.25">
      <c r="A10" s="19">
        <v>7</v>
      </c>
      <c r="B10" s="19">
        <v>7</v>
      </c>
      <c r="C10" s="19" t="s">
        <v>195</v>
      </c>
      <c r="D10" s="19" t="s">
        <v>197</v>
      </c>
      <c r="E10" s="19">
        <v>4</v>
      </c>
      <c r="F10" s="19">
        <f t="shared" si="0"/>
        <v>3.1746031746031744</v>
      </c>
      <c r="G10" s="19">
        <f t="shared" si="1"/>
        <v>95.238095238095241</v>
      </c>
      <c r="H10" s="19" t="s">
        <v>508</v>
      </c>
      <c r="I10" s="19" t="s">
        <v>547</v>
      </c>
      <c r="J10" s="19" t="s">
        <v>549</v>
      </c>
      <c r="K10" s="19"/>
    </row>
    <row r="11" spans="1:11" ht="36" customHeight="1" x14ac:dyDescent="0.25">
      <c r="A11" s="20">
        <v>8</v>
      </c>
      <c r="B11" s="20">
        <v>8</v>
      </c>
      <c r="C11" s="20" t="s">
        <v>203</v>
      </c>
      <c r="D11" s="20" t="s">
        <v>200</v>
      </c>
      <c r="E11" s="20">
        <v>3</v>
      </c>
      <c r="F11" s="20">
        <f t="shared" si="0"/>
        <v>2.3809523809523809</v>
      </c>
      <c r="G11" s="20">
        <f t="shared" si="1"/>
        <v>97.61904761904762</v>
      </c>
      <c r="H11" s="20" t="s">
        <v>508</v>
      </c>
      <c r="I11" s="20" t="s">
        <v>547</v>
      </c>
      <c r="J11" s="20" t="s">
        <v>885</v>
      </c>
      <c r="K11" s="20"/>
    </row>
    <row r="12" spans="1:11" x14ac:dyDescent="0.25">
      <c r="A12" s="19">
        <v>9</v>
      </c>
      <c r="B12" s="19">
        <v>9</v>
      </c>
      <c r="C12" s="19" t="s">
        <v>173</v>
      </c>
      <c r="D12" s="19" t="s">
        <v>174</v>
      </c>
      <c r="E12" s="19">
        <v>2</v>
      </c>
      <c r="F12" s="19">
        <f t="shared" si="0"/>
        <v>1.5873015873015872</v>
      </c>
      <c r="G12" s="19">
        <f t="shared" si="1"/>
        <v>99.206349206349202</v>
      </c>
      <c r="H12" s="19" t="s">
        <v>508</v>
      </c>
      <c r="I12" s="19" t="s">
        <v>547</v>
      </c>
      <c r="J12" s="19"/>
      <c r="K12" s="19"/>
    </row>
    <row r="13" spans="1:11" x14ac:dyDescent="0.25">
      <c r="A13" s="20">
        <v>10</v>
      </c>
      <c r="B13" s="20">
        <v>10</v>
      </c>
      <c r="C13" s="20" t="s">
        <v>205</v>
      </c>
      <c r="D13" s="20" t="s">
        <v>206</v>
      </c>
      <c r="E13" s="20">
        <v>1</v>
      </c>
      <c r="F13" s="20">
        <f t="shared" si="0"/>
        <v>0.79365079365079361</v>
      </c>
      <c r="G13" s="20">
        <f t="shared" si="1"/>
        <v>100</v>
      </c>
      <c r="H13" s="20" t="s">
        <v>508</v>
      </c>
      <c r="I13" s="20" t="s">
        <v>547</v>
      </c>
      <c r="J13" s="20"/>
      <c r="K13" s="20"/>
    </row>
    <row r="15" spans="1:11" ht="6" customHeight="1" x14ac:dyDescent="0.25"/>
    <row r="16" spans="1:11" ht="20.100000000000001" customHeight="1" x14ac:dyDescent="0.25"/>
    <row r="17" ht="32.1" customHeight="1" x14ac:dyDescent="0.25"/>
  </sheetData>
  <mergeCells count="2">
    <mergeCell ref="A1:K1"/>
    <mergeCell ref="A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2CBE2-DC4A-4D36-A22D-BE13FC987645}">
  <dimension ref="A1:K6"/>
  <sheetViews>
    <sheetView workbookViewId="0">
      <selection activeCell="M5" sqref="M5"/>
    </sheetView>
  </sheetViews>
  <sheetFormatPr defaultRowHeight="15" x14ac:dyDescent="0.25"/>
  <cols>
    <col min="4" max="4" width="8.42578125" bestFit="1" customWidth="1"/>
  </cols>
  <sheetData>
    <row r="1" spans="1:11" x14ac:dyDescent="0.25">
      <c r="A1" s="37" t="s">
        <v>886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25">
      <c r="A2" s="43" t="s">
        <v>515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" x14ac:dyDescent="0.25">
      <c r="A3" s="18" t="s">
        <v>896</v>
      </c>
      <c r="B3" s="18" t="s">
        <v>457</v>
      </c>
      <c r="C3" s="18" t="s">
        <v>524</v>
      </c>
      <c r="D3" s="18" t="s">
        <v>525</v>
      </c>
      <c r="E3" s="18" t="s">
        <v>446</v>
      </c>
      <c r="F3" s="18" t="s">
        <v>526</v>
      </c>
      <c r="G3" s="18" t="s">
        <v>527</v>
      </c>
      <c r="H3" s="18" t="s">
        <v>528</v>
      </c>
      <c r="I3" s="18" t="s">
        <v>529</v>
      </c>
      <c r="J3" s="18" t="s">
        <v>414</v>
      </c>
      <c r="K3" s="18" t="s">
        <v>530</v>
      </c>
    </row>
    <row r="4" spans="1:11" ht="24" x14ac:dyDescent="0.25">
      <c r="A4" s="19">
        <v>1</v>
      </c>
      <c r="B4" s="19" t="s">
        <v>350</v>
      </c>
      <c r="C4" s="19" t="s">
        <v>533</v>
      </c>
      <c r="D4" s="19">
        <v>250</v>
      </c>
      <c r="E4" s="19">
        <v>18</v>
      </c>
      <c r="F4" s="19">
        <f>E4/D4*1000000</f>
        <v>72000</v>
      </c>
      <c r="G4" s="19">
        <f>(D4-E4)/D4*100</f>
        <v>92.800000000000011</v>
      </c>
      <c r="H4" s="19" t="s">
        <v>534</v>
      </c>
      <c r="I4" s="19">
        <v>50000</v>
      </c>
      <c r="J4" s="19" t="s">
        <v>535</v>
      </c>
      <c r="K4" s="19" t="s">
        <v>536</v>
      </c>
    </row>
    <row r="5" spans="1:11" x14ac:dyDescent="0.25">
      <c r="A5" s="20">
        <v>2</v>
      </c>
      <c r="B5" s="20" t="s">
        <v>356</v>
      </c>
      <c r="C5" s="20" t="s">
        <v>533</v>
      </c>
      <c r="D5" s="20">
        <v>180</v>
      </c>
      <c r="E5" s="20">
        <v>6</v>
      </c>
      <c r="F5" s="20">
        <f>E5/D5*1000000</f>
        <v>33333.333333333336</v>
      </c>
      <c r="G5" s="20">
        <f>(D5-E5)/D5*100</f>
        <v>96.666666666666671</v>
      </c>
      <c r="H5" s="20" t="s">
        <v>539</v>
      </c>
      <c r="I5" s="20">
        <v>30000</v>
      </c>
      <c r="J5" s="20" t="s">
        <v>535</v>
      </c>
      <c r="K5" s="20" t="s">
        <v>540</v>
      </c>
    </row>
    <row r="6" spans="1:11" ht="24" x14ac:dyDescent="0.25">
      <c r="A6" s="19">
        <v>3</v>
      </c>
      <c r="B6" s="19" t="s">
        <v>361</v>
      </c>
      <c r="C6" s="19" t="s">
        <v>533</v>
      </c>
      <c r="D6" s="19">
        <v>150</v>
      </c>
      <c r="E6" s="19">
        <v>3</v>
      </c>
      <c r="F6" s="19">
        <f>E6/D6*1000000</f>
        <v>20000</v>
      </c>
      <c r="G6" s="19">
        <f>(D6-E6)/D6*100</f>
        <v>98</v>
      </c>
      <c r="H6" s="19" t="s">
        <v>542</v>
      </c>
      <c r="I6" s="19">
        <v>50000</v>
      </c>
      <c r="J6" s="19" t="s">
        <v>444</v>
      </c>
      <c r="K6" s="19" t="s">
        <v>543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528F-F69C-4E5A-935A-3CEF59C486F6}">
  <dimension ref="A1:L20"/>
  <sheetViews>
    <sheetView showGridLines="0" tabSelected="1" workbookViewId="0">
      <pane ySplit="4" topLeftCell="A9" activePane="bottomLeft" state="frozen"/>
      <selection pane="bottomLeft" sqref="A1:L1"/>
    </sheetView>
  </sheetViews>
  <sheetFormatPr defaultRowHeight="15" x14ac:dyDescent="0.25"/>
  <cols>
    <col min="1" max="2" width="12" style="17" customWidth="1"/>
    <col min="3" max="3" width="10" style="17" customWidth="1"/>
    <col min="4" max="4" width="9" style="17" customWidth="1"/>
    <col min="5" max="5" width="8" style="17" customWidth="1"/>
    <col min="6" max="6" width="10" style="17" customWidth="1"/>
    <col min="7" max="7" width="12" style="17" customWidth="1"/>
    <col min="8" max="8" width="10" style="17" customWidth="1"/>
    <col min="9" max="10" width="14" style="17" customWidth="1"/>
    <col min="11" max="11" width="12" style="17" customWidth="1"/>
    <col min="12" max="12" width="18" style="17" customWidth="1"/>
    <col min="13" max="16384" width="9.140625" style="17"/>
  </cols>
  <sheetData>
    <row r="1" spans="1:12" ht="24" customHeight="1" x14ac:dyDescent="0.25">
      <c r="A1" s="37" t="s">
        <v>467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14.1" customHeight="1" x14ac:dyDescent="0.25">
      <c r="A2" s="39" t="s">
        <v>468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4" spans="1:12" ht="20.100000000000001" customHeight="1" x14ac:dyDescent="0.25">
      <c r="A4" s="40" t="s">
        <v>469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ht="32.1" customHeight="1" x14ac:dyDescent="0.25">
      <c r="A5" s="27" t="s">
        <v>470</v>
      </c>
      <c r="B5" s="27" t="s">
        <v>471</v>
      </c>
      <c r="C5" s="27" t="s">
        <v>472</v>
      </c>
      <c r="D5" s="27" t="s">
        <v>473</v>
      </c>
      <c r="E5" s="27" t="s">
        <v>474</v>
      </c>
      <c r="F5" s="27" t="s">
        <v>475</v>
      </c>
    </row>
    <row r="6" spans="1:12" ht="48" customHeight="1" x14ac:dyDescent="0.25">
      <c r="A6" s="19" t="s">
        <v>476</v>
      </c>
      <c r="B6" s="19" t="s">
        <v>477</v>
      </c>
      <c r="C6" s="19" t="s">
        <v>478</v>
      </c>
      <c r="D6" s="19" t="s">
        <v>479</v>
      </c>
      <c r="E6" s="19" t="s">
        <v>480</v>
      </c>
      <c r="F6" s="19" t="s">
        <v>481</v>
      </c>
    </row>
    <row r="7" spans="1:12" ht="48" customHeight="1" x14ac:dyDescent="0.25">
      <c r="A7" s="20" t="s">
        <v>482</v>
      </c>
      <c r="B7" s="20" t="s">
        <v>483</v>
      </c>
      <c r="C7" s="20" t="s">
        <v>484</v>
      </c>
      <c r="D7" s="20" t="s">
        <v>485</v>
      </c>
      <c r="E7" s="20" t="s">
        <v>486</v>
      </c>
      <c r="F7" s="20" t="s">
        <v>487</v>
      </c>
    </row>
    <row r="8" spans="1:12" ht="48" customHeight="1" x14ac:dyDescent="0.25">
      <c r="A8" s="19" t="s">
        <v>488</v>
      </c>
      <c r="B8" s="19" t="s">
        <v>489</v>
      </c>
      <c r="C8" s="19" t="s">
        <v>490</v>
      </c>
      <c r="D8" s="19" t="s">
        <v>491</v>
      </c>
      <c r="E8" s="19" t="s">
        <v>486</v>
      </c>
      <c r="F8" s="19" t="s">
        <v>492</v>
      </c>
    </row>
    <row r="9" spans="1:12" ht="48" customHeight="1" x14ac:dyDescent="0.25">
      <c r="A9" s="20" t="s">
        <v>493</v>
      </c>
      <c r="B9" s="20" t="s">
        <v>489</v>
      </c>
      <c r="C9" s="20" t="s">
        <v>490</v>
      </c>
      <c r="D9" s="20" t="s">
        <v>491</v>
      </c>
      <c r="E9" s="20" t="s">
        <v>486</v>
      </c>
      <c r="F9" s="20" t="s">
        <v>494</v>
      </c>
    </row>
    <row r="10" spans="1:12" ht="48" customHeight="1" x14ac:dyDescent="0.25">
      <c r="A10" s="19" t="s">
        <v>495</v>
      </c>
      <c r="B10" s="19" t="s">
        <v>496</v>
      </c>
      <c r="C10" s="19" t="s">
        <v>497</v>
      </c>
      <c r="D10" s="19" t="s">
        <v>498</v>
      </c>
      <c r="E10" s="19" t="s">
        <v>480</v>
      </c>
      <c r="F10" s="19" t="s">
        <v>499</v>
      </c>
    </row>
    <row r="12" spans="1:12" ht="6" customHeight="1" x14ac:dyDescent="0.25"/>
    <row r="13" spans="1:12" ht="20.100000000000001" customHeight="1" x14ac:dyDescent="0.25">
      <c r="A13" s="44" t="s">
        <v>500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</row>
    <row r="14" spans="1:12" ht="32.1" customHeight="1" x14ac:dyDescent="0.25">
      <c r="A14" s="18" t="s">
        <v>455</v>
      </c>
      <c r="B14" s="18" t="s">
        <v>457</v>
      </c>
      <c r="C14" s="18" t="s">
        <v>458</v>
      </c>
      <c r="D14" s="18" t="s">
        <v>124</v>
      </c>
      <c r="E14" s="18" t="s">
        <v>446</v>
      </c>
      <c r="F14" s="18" t="s">
        <v>501</v>
      </c>
      <c r="G14" s="18" t="s">
        <v>502</v>
      </c>
      <c r="H14" s="18" t="s">
        <v>503</v>
      </c>
      <c r="I14" s="18" t="s">
        <v>504</v>
      </c>
      <c r="J14" s="18" t="s">
        <v>505</v>
      </c>
      <c r="K14" s="18" t="s">
        <v>506</v>
      </c>
      <c r="L14" s="18" t="s">
        <v>507</v>
      </c>
    </row>
    <row r="15" spans="1:12" x14ac:dyDescent="0.25">
      <c r="A15" s="19" t="s">
        <v>418</v>
      </c>
      <c r="B15" s="19" t="s">
        <v>350</v>
      </c>
      <c r="C15" s="19">
        <v>7</v>
      </c>
      <c r="D15" s="19">
        <v>1</v>
      </c>
      <c r="E15" s="19">
        <v>3</v>
      </c>
      <c r="F15" s="19">
        <v>30</v>
      </c>
      <c r="G15" s="19">
        <f>E15/F15</f>
        <v>0.1</v>
      </c>
      <c r="H15" s="19">
        <v>8.2299999999999998E-2</v>
      </c>
      <c r="I15" s="19">
        <f>H15+3*SQRT(H15*(1-H15)/F15)</f>
        <v>0.23282578848821883</v>
      </c>
      <c r="J15" s="19">
        <f>MAX(0,H15-3*SQRT(H15*(1-H15)/F15))</f>
        <v>0</v>
      </c>
      <c r="K15" s="19" t="s">
        <v>508</v>
      </c>
      <c r="L15" s="19"/>
    </row>
    <row r="16" spans="1:12" x14ac:dyDescent="0.25">
      <c r="A16" s="20" t="s">
        <v>423</v>
      </c>
      <c r="B16" s="20" t="s">
        <v>350</v>
      </c>
      <c r="C16" s="20">
        <v>7</v>
      </c>
      <c r="D16" s="20">
        <v>1</v>
      </c>
      <c r="E16" s="20">
        <v>5</v>
      </c>
      <c r="F16" s="20">
        <v>30</v>
      </c>
      <c r="G16" s="20">
        <f>E16/F16</f>
        <v>0.16666666666666666</v>
      </c>
      <c r="H16" s="20">
        <v>8.2299999999999998E-2</v>
      </c>
      <c r="I16" s="20">
        <f>H16+3*SQRT(H16*(1-H16)/F16)</f>
        <v>0.23282578848821883</v>
      </c>
      <c r="J16" s="20">
        <f>MAX(0,H16-3*SQRT(H16*(1-H16)/F16))</f>
        <v>0</v>
      </c>
      <c r="K16" s="20" t="s">
        <v>508</v>
      </c>
      <c r="L16" s="20"/>
    </row>
    <row r="17" spans="1:12" x14ac:dyDescent="0.25">
      <c r="A17" s="26" t="s">
        <v>509</v>
      </c>
      <c r="B17" s="26" t="s">
        <v>350</v>
      </c>
      <c r="C17" s="26">
        <v>7</v>
      </c>
      <c r="D17" s="26">
        <v>1</v>
      </c>
      <c r="E17" s="26">
        <v>8</v>
      </c>
      <c r="F17" s="26">
        <v>30</v>
      </c>
      <c r="G17" s="26">
        <f>E17/F17</f>
        <v>0.26666666666666666</v>
      </c>
      <c r="H17" s="26">
        <v>8.2299999999999998E-2</v>
      </c>
      <c r="I17" s="26">
        <f>H17+3*SQRT(H17*(1-H17)/F17)</f>
        <v>0.23282578848821883</v>
      </c>
      <c r="J17" s="26">
        <f>MAX(0,H17-3*SQRT(H17*(1-H17)/F17))</f>
        <v>0</v>
      </c>
      <c r="K17" s="26" t="s">
        <v>354</v>
      </c>
      <c r="L17" s="26" t="s">
        <v>510</v>
      </c>
    </row>
    <row r="18" spans="1:12" x14ac:dyDescent="0.25">
      <c r="A18" s="26" t="s">
        <v>511</v>
      </c>
      <c r="B18" s="26" t="s">
        <v>350</v>
      </c>
      <c r="C18" s="26">
        <v>7</v>
      </c>
      <c r="D18" s="26">
        <v>1</v>
      </c>
      <c r="E18" s="26">
        <v>9</v>
      </c>
      <c r="F18" s="26">
        <v>30</v>
      </c>
      <c r="G18" s="26">
        <f>E18/F18</f>
        <v>0.3</v>
      </c>
      <c r="H18" s="26">
        <v>8.2299999999999998E-2</v>
      </c>
      <c r="I18" s="26">
        <f>H18+3*SQRT(H18*(1-H18)/F18)</f>
        <v>0.23282578848821883</v>
      </c>
      <c r="J18" s="26">
        <f>MAX(0,H18-3*SQRT(H18*(1-H18)/F18))</f>
        <v>0</v>
      </c>
      <c r="K18" s="26" t="s">
        <v>354</v>
      </c>
      <c r="L18" s="26" t="s">
        <v>512</v>
      </c>
    </row>
    <row r="20" spans="1:12" ht="14.1" customHeight="1" x14ac:dyDescent="0.25">
      <c r="A20" s="39" t="s">
        <v>513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</row>
  </sheetData>
  <mergeCells count="5">
    <mergeCell ref="A1:L1"/>
    <mergeCell ref="A2:L2"/>
    <mergeCell ref="A4:L4"/>
    <mergeCell ref="A13:L13"/>
    <mergeCell ref="A20:L2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26CE-B1DF-44B0-9C3C-3C55E10E4E80}">
  <dimension ref="A1:S8"/>
  <sheetViews>
    <sheetView showGridLines="0" workbookViewId="0">
      <pane ySplit="3" topLeftCell="A4" activePane="bottomLeft" state="frozen"/>
      <selection pane="bottomLeft" activeCell="L13" sqref="L13"/>
    </sheetView>
  </sheetViews>
  <sheetFormatPr defaultRowHeight="15" x14ac:dyDescent="0.25"/>
  <cols>
    <col min="1" max="1" width="6" style="17" customWidth="1"/>
    <col min="2" max="2" width="12" style="17" customWidth="1"/>
    <col min="3" max="3" width="9" style="17" customWidth="1"/>
    <col min="4" max="4" width="16" style="17" customWidth="1"/>
    <col min="5" max="5" width="12" style="17" customWidth="1"/>
    <col min="6" max="6" width="22" style="17" customWidth="1"/>
    <col min="7" max="8" width="10" style="17" customWidth="1"/>
    <col min="9" max="10" width="12" style="17" customWidth="1"/>
    <col min="11" max="11" width="10" style="17" customWidth="1"/>
    <col min="12" max="14" width="22" style="17" customWidth="1"/>
    <col min="15" max="18" width="10" style="17" customWidth="1"/>
    <col min="19" max="19" width="28" style="17" customWidth="1"/>
    <col min="20" max="16384" width="9.140625" style="17"/>
  </cols>
  <sheetData>
    <row r="1" spans="1:19" ht="24" customHeight="1" x14ac:dyDescent="0.25">
      <c r="A1" s="37" t="s">
        <v>453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1:19" ht="14.1" customHeight="1" x14ac:dyDescent="0.25">
      <c r="A2" s="39" t="s">
        <v>454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ht="32.1" customHeight="1" x14ac:dyDescent="0.25">
      <c r="A3" s="18" t="s">
        <v>0</v>
      </c>
      <c r="B3" s="18" t="s">
        <v>455</v>
      </c>
      <c r="C3" s="18" t="s">
        <v>124</v>
      </c>
      <c r="D3" s="18" t="s">
        <v>456</v>
      </c>
      <c r="E3" s="18" t="s">
        <v>457</v>
      </c>
      <c r="F3" s="18" t="s">
        <v>409</v>
      </c>
      <c r="G3" s="18" t="s">
        <v>458</v>
      </c>
      <c r="H3" s="18" t="s">
        <v>459</v>
      </c>
      <c r="I3" s="18" t="s">
        <v>460</v>
      </c>
      <c r="J3" s="18" t="s">
        <v>461</v>
      </c>
      <c r="K3" s="18" t="s">
        <v>414</v>
      </c>
      <c r="L3" s="18" t="s">
        <v>895</v>
      </c>
      <c r="M3" s="18" t="s">
        <v>134</v>
      </c>
      <c r="N3" s="18" t="s">
        <v>894</v>
      </c>
      <c r="O3" s="18" t="s">
        <v>462</v>
      </c>
      <c r="P3" s="18" t="s">
        <v>463</v>
      </c>
      <c r="Q3" s="18" t="s">
        <v>464</v>
      </c>
      <c r="R3" s="18" t="s">
        <v>465</v>
      </c>
      <c r="S3" s="18" t="s">
        <v>440</v>
      </c>
    </row>
    <row r="4" spans="1:19" x14ac:dyDescent="0.25">
      <c r="A4" s="19">
        <v>1</v>
      </c>
      <c r="B4" s="19" t="s">
        <v>418</v>
      </c>
      <c r="C4" s="19">
        <v>1</v>
      </c>
      <c r="D4" s="19" t="s">
        <v>416</v>
      </c>
      <c r="E4" s="19" t="s">
        <v>350</v>
      </c>
      <c r="F4" s="19" t="s">
        <v>351</v>
      </c>
      <c r="G4" s="19">
        <v>7</v>
      </c>
      <c r="H4" s="19">
        <v>1</v>
      </c>
      <c r="I4" s="19">
        <v>1</v>
      </c>
      <c r="J4" s="19">
        <v>4</v>
      </c>
      <c r="K4" s="19" t="s">
        <v>444</v>
      </c>
      <c r="L4" s="19" t="s">
        <v>444</v>
      </c>
      <c r="M4" s="19" t="s">
        <v>466</v>
      </c>
      <c r="N4" s="19" t="s">
        <v>466</v>
      </c>
      <c r="O4" s="19">
        <v>0</v>
      </c>
      <c r="P4" s="19">
        <v>1</v>
      </c>
      <c r="Q4" s="19">
        <v>0</v>
      </c>
      <c r="R4" s="19">
        <v>1</v>
      </c>
      <c r="S4" s="19"/>
    </row>
    <row r="5" spans="1:19" x14ac:dyDescent="0.25">
      <c r="A5" s="26">
        <v>2</v>
      </c>
      <c r="B5" s="26" t="s">
        <v>418</v>
      </c>
      <c r="C5" s="26">
        <v>1</v>
      </c>
      <c r="D5" s="26" t="s">
        <v>416</v>
      </c>
      <c r="E5" s="26" t="s">
        <v>350</v>
      </c>
      <c r="F5" s="26" t="s">
        <v>351</v>
      </c>
      <c r="G5" s="26">
        <v>7</v>
      </c>
      <c r="H5" s="26">
        <v>1</v>
      </c>
      <c r="I5" s="26">
        <v>1</v>
      </c>
      <c r="J5" s="26">
        <v>4</v>
      </c>
      <c r="K5" s="26" t="s">
        <v>446</v>
      </c>
      <c r="L5" s="26" t="s">
        <v>137</v>
      </c>
      <c r="M5" s="26" t="s">
        <v>138</v>
      </c>
      <c r="N5" s="19" t="s">
        <v>466</v>
      </c>
      <c r="O5" s="26">
        <v>2</v>
      </c>
      <c r="P5" s="26">
        <v>0</v>
      </c>
      <c r="Q5" s="26">
        <v>2</v>
      </c>
      <c r="R5" s="26">
        <v>2</v>
      </c>
      <c r="S5" s="26" t="s">
        <v>447</v>
      </c>
    </row>
    <row r="6" spans="1:19" x14ac:dyDescent="0.25">
      <c r="A6" s="26">
        <v>3</v>
      </c>
      <c r="B6" s="26" t="s">
        <v>418</v>
      </c>
      <c r="C6" s="26">
        <v>1</v>
      </c>
      <c r="D6" s="26" t="s">
        <v>416</v>
      </c>
      <c r="E6" s="26" t="s">
        <v>350</v>
      </c>
      <c r="F6" s="26" t="s">
        <v>351</v>
      </c>
      <c r="G6" s="26">
        <v>7</v>
      </c>
      <c r="H6" s="26">
        <v>1</v>
      </c>
      <c r="I6" s="26">
        <v>1</v>
      </c>
      <c r="J6" s="26">
        <v>4</v>
      </c>
      <c r="K6" s="26" t="s">
        <v>446</v>
      </c>
      <c r="L6" s="26" t="s">
        <v>148</v>
      </c>
      <c r="M6" s="26" t="s">
        <v>149</v>
      </c>
      <c r="N6" s="19" t="s">
        <v>466</v>
      </c>
      <c r="O6" s="26">
        <v>1</v>
      </c>
      <c r="P6" s="26">
        <v>0</v>
      </c>
      <c r="Q6" s="26">
        <v>1</v>
      </c>
      <c r="R6" s="26">
        <v>1</v>
      </c>
      <c r="S6" s="26"/>
    </row>
    <row r="7" spans="1:19" x14ac:dyDescent="0.25">
      <c r="A7" s="20">
        <v>4</v>
      </c>
      <c r="B7" s="20" t="s">
        <v>418</v>
      </c>
      <c r="C7" s="20">
        <v>2</v>
      </c>
      <c r="D7" s="20" t="s">
        <v>421</v>
      </c>
      <c r="E7" s="20" t="s">
        <v>356</v>
      </c>
      <c r="F7" s="20" t="s">
        <v>357</v>
      </c>
      <c r="G7" s="20">
        <v>1</v>
      </c>
      <c r="H7" s="20">
        <v>2</v>
      </c>
      <c r="I7" s="20">
        <v>2</v>
      </c>
      <c r="J7" s="20">
        <v>4</v>
      </c>
      <c r="K7" s="20" t="s">
        <v>444</v>
      </c>
      <c r="L7" s="20" t="s">
        <v>444</v>
      </c>
      <c r="M7" s="20" t="s">
        <v>466</v>
      </c>
      <c r="N7" s="19" t="s">
        <v>466</v>
      </c>
      <c r="O7" s="20">
        <v>0</v>
      </c>
      <c r="P7" s="20">
        <v>1</v>
      </c>
      <c r="Q7" s="20">
        <v>0</v>
      </c>
      <c r="R7" s="20">
        <v>1</v>
      </c>
      <c r="S7" s="20"/>
    </row>
    <row r="8" spans="1:19" x14ac:dyDescent="0.25">
      <c r="A8" s="26">
        <v>5</v>
      </c>
      <c r="B8" s="26" t="s">
        <v>418</v>
      </c>
      <c r="C8" s="26">
        <v>2</v>
      </c>
      <c r="D8" s="26" t="s">
        <v>421</v>
      </c>
      <c r="E8" s="26" t="s">
        <v>356</v>
      </c>
      <c r="F8" s="26" t="s">
        <v>357</v>
      </c>
      <c r="G8" s="26">
        <v>1</v>
      </c>
      <c r="H8" s="26">
        <v>2</v>
      </c>
      <c r="I8" s="26">
        <v>2</v>
      </c>
      <c r="J8" s="26">
        <v>4</v>
      </c>
      <c r="K8" s="26" t="s">
        <v>446</v>
      </c>
      <c r="L8" s="26" t="s">
        <v>157</v>
      </c>
      <c r="M8" s="26" t="s">
        <v>42</v>
      </c>
      <c r="N8" s="19" t="s">
        <v>466</v>
      </c>
      <c r="O8" s="26">
        <v>1</v>
      </c>
      <c r="P8" s="26">
        <v>0</v>
      </c>
      <c r="Q8" s="26">
        <v>1</v>
      </c>
      <c r="R8" s="26">
        <v>1</v>
      </c>
      <c r="S8" s="26" t="s">
        <v>451</v>
      </c>
    </row>
  </sheetData>
  <mergeCells count="2">
    <mergeCell ref="A1:S1"/>
    <mergeCell ref="A2:S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AEDF9-2CBB-4C5E-B78E-363388FED8B9}">
  <dimension ref="A1:P11"/>
  <sheetViews>
    <sheetView showGridLines="0" workbookViewId="0">
      <pane ySplit="3" topLeftCell="A4" activePane="bottomLeft" state="frozen"/>
      <selection pane="bottomLeft" activeCell="C13" sqref="C13"/>
    </sheetView>
  </sheetViews>
  <sheetFormatPr defaultRowHeight="15" x14ac:dyDescent="0.25"/>
  <cols>
    <col min="1" max="1" width="9.140625" style="17"/>
    <col min="2" max="2" width="12" style="17" customWidth="1"/>
    <col min="3" max="3" width="13" style="17" customWidth="1"/>
    <col min="4" max="5" width="16" style="17" customWidth="1"/>
    <col min="6" max="6" width="24" style="17" customWidth="1"/>
    <col min="7" max="7" width="18" style="17" customWidth="1"/>
    <col min="8" max="8" width="16" style="17" customWidth="1"/>
    <col min="9" max="10" width="22" style="17" customWidth="1"/>
    <col min="11" max="11" width="14" style="17" customWidth="1"/>
    <col min="12" max="12" width="22" style="17" customWidth="1"/>
    <col min="13" max="13" width="24" style="17" customWidth="1"/>
    <col min="14" max="14" width="10" style="17" customWidth="1"/>
    <col min="15" max="15" width="28" style="17" customWidth="1"/>
    <col min="16" max="16" width="18" style="17" customWidth="1"/>
    <col min="17" max="16384" width="9.140625" style="17"/>
  </cols>
  <sheetData>
    <row r="1" spans="1:16" ht="24" customHeight="1" x14ac:dyDescent="0.25">
      <c r="A1" s="37" t="s">
        <v>429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ht="14.1" customHeight="1" x14ac:dyDescent="0.25">
      <c r="B2" s="39" t="s">
        <v>884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 ht="32.1" customHeight="1" x14ac:dyDescent="0.25">
      <c r="A3" s="21" t="s">
        <v>896</v>
      </c>
      <c r="B3" s="21" t="s">
        <v>430</v>
      </c>
      <c r="C3" s="21" t="s">
        <v>431</v>
      </c>
      <c r="D3" s="21" t="s">
        <v>432</v>
      </c>
      <c r="E3" s="21" t="s">
        <v>433</v>
      </c>
      <c r="F3" s="22" t="s">
        <v>409</v>
      </c>
      <c r="G3" s="22" t="s">
        <v>1</v>
      </c>
      <c r="H3" s="22" t="s">
        <v>434</v>
      </c>
      <c r="I3" s="21" t="s">
        <v>435</v>
      </c>
      <c r="J3" s="21" t="s">
        <v>436</v>
      </c>
      <c r="K3" s="21" t="s">
        <v>437</v>
      </c>
      <c r="L3" s="23" t="s">
        <v>438</v>
      </c>
      <c r="M3" s="23" t="s">
        <v>134</v>
      </c>
      <c r="N3" s="23" t="s">
        <v>439</v>
      </c>
      <c r="O3" s="24" t="s">
        <v>440</v>
      </c>
      <c r="P3" s="25" t="s">
        <v>441</v>
      </c>
    </row>
    <row r="4" spans="1:16" x14ac:dyDescent="0.25">
      <c r="A4" s="19">
        <v>1</v>
      </c>
      <c r="B4" s="19" t="s">
        <v>418</v>
      </c>
      <c r="C4" s="19">
        <v>1</v>
      </c>
      <c r="D4" s="19" t="s">
        <v>416</v>
      </c>
      <c r="E4" s="19" t="s">
        <v>350</v>
      </c>
      <c r="F4" s="19" t="s">
        <v>351</v>
      </c>
      <c r="G4" s="19" t="s">
        <v>26</v>
      </c>
      <c r="H4" s="19" t="s">
        <v>379</v>
      </c>
      <c r="I4" s="19" t="s">
        <v>442</v>
      </c>
      <c r="J4" s="19" t="s">
        <v>443</v>
      </c>
      <c r="K4" s="19" t="s">
        <v>444</v>
      </c>
      <c r="L4" s="19"/>
      <c r="M4" s="19"/>
      <c r="N4" s="19">
        <v>0</v>
      </c>
      <c r="O4" s="19"/>
      <c r="P4" s="19" t="s">
        <v>445</v>
      </c>
    </row>
    <row r="5" spans="1:16" x14ac:dyDescent="0.25">
      <c r="A5" s="26">
        <v>2</v>
      </c>
      <c r="B5" s="26" t="s">
        <v>418</v>
      </c>
      <c r="C5" s="26">
        <v>1</v>
      </c>
      <c r="D5" s="26" t="s">
        <v>416</v>
      </c>
      <c r="E5" s="26" t="s">
        <v>350</v>
      </c>
      <c r="F5" s="26" t="s">
        <v>351</v>
      </c>
      <c r="G5" s="26" t="s">
        <v>26</v>
      </c>
      <c r="H5" s="26" t="s">
        <v>379</v>
      </c>
      <c r="I5" s="26" t="s">
        <v>442</v>
      </c>
      <c r="J5" s="26" t="s">
        <v>443</v>
      </c>
      <c r="K5" s="26" t="s">
        <v>446</v>
      </c>
      <c r="L5" s="26" t="s">
        <v>137</v>
      </c>
      <c r="M5" s="26" t="s">
        <v>138</v>
      </c>
      <c r="N5" s="26">
        <v>2</v>
      </c>
      <c r="O5" s="26" t="s">
        <v>447</v>
      </c>
      <c r="P5" s="26" t="s">
        <v>448</v>
      </c>
    </row>
    <row r="6" spans="1:16" x14ac:dyDescent="0.25">
      <c r="A6" s="26">
        <v>3</v>
      </c>
      <c r="B6" s="26" t="s">
        <v>418</v>
      </c>
      <c r="C6" s="26">
        <v>1</v>
      </c>
      <c r="D6" s="26" t="s">
        <v>416</v>
      </c>
      <c r="E6" s="26" t="s">
        <v>350</v>
      </c>
      <c r="F6" s="26" t="s">
        <v>351</v>
      </c>
      <c r="G6" s="26" t="s">
        <v>26</v>
      </c>
      <c r="H6" s="26" t="s">
        <v>379</v>
      </c>
      <c r="I6" s="26" t="s">
        <v>442</v>
      </c>
      <c r="J6" s="26" t="s">
        <v>443</v>
      </c>
      <c r="K6" s="26" t="s">
        <v>446</v>
      </c>
      <c r="L6" s="26" t="s">
        <v>148</v>
      </c>
      <c r="M6" s="26" t="s">
        <v>149</v>
      </c>
      <c r="N6" s="26">
        <v>1</v>
      </c>
      <c r="O6" s="26"/>
      <c r="P6" s="26" t="s">
        <v>449</v>
      </c>
    </row>
    <row r="7" spans="1:16" x14ac:dyDescent="0.25">
      <c r="A7" s="20">
        <v>4</v>
      </c>
      <c r="B7" s="20" t="s">
        <v>418</v>
      </c>
      <c r="C7" s="20">
        <v>2</v>
      </c>
      <c r="D7" s="20" t="s">
        <v>421</v>
      </c>
      <c r="E7" s="20" t="s">
        <v>356</v>
      </c>
      <c r="F7" s="20" t="s">
        <v>357</v>
      </c>
      <c r="G7" s="20" t="s">
        <v>5</v>
      </c>
      <c r="H7" s="20" t="s">
        <v>380</v>
      </c>
      <c r="I7" s="20" t="s">
        <v>442</v>
      </c>
      <c r="J7" s="20" t="s">
        <v>396</v>
      </c>
      <c r="K7" s="20" t="s">
        <v>444</v>
      </c>
      <c r="L7" s="20"/>
      <c r="M7" s="20"/>
      <c r="N7" s="20">
        <v>0</v>
      </c>
      <c r="O7" s="20"/>
      <c r="P7" s="20" t="s">
        <v>450</v>
      </c>
    </row>
    <row r="8" spans="1:16" x14ac:dyDescent="0.25">
      <c r="A8" s="26">
        <v>5</v>
      </c>
      <c r="B8" s="26" t="s">
        <v>418</v>
      </c>
      <c r="C8" s="26">
        <v>2</v>
      </c>
      <c r="D8" s="26" t="s">
        <v>421</v>
      </c>
      <c r="E8" s="26" t="s">
        <v>356</v>
      </c>
      <c r="F8" s="26" t="s">
        <v>357</v>
      </c>
      <c r="G8" s="26" t="s">
        <v>5</v>
      </c>
      <c r="H8" s="26" t="s">
        <v>380</v>
      </c>
      <c r="I8" s="26" t="s">
        <v>442</v>
      </c>
      <c r="J8" s="26" t="s">
        <v>396</v>
      </c>
      <c r="K8" s="26" t="s">
        <v>446</v>
      </c>
      <c r="L8" s="26" t="s">
        <v>157</v>
      </c>
      <c r="M8" s="26" t="s">
        <v>42</v>
      </c>
      <c r="N8" s="26">
        <v>1</v>
      </c>
      <c r="O8" s="26" t="s">
        <v>451</v>
      </c>
      <c r="P8" s="26" t="s">
        <v>452</v>
      </c>
    </row>
    <row r="9" spans="1:16" x14ac:dyDescent="0.25">
      <c r="A9" s="26">
        <v>6</v>
      </c>
      <c r="B9" s="26" t="s">
        <v>423</v>
      </c>
      <c r="C9" s="26">
        <v>1</v>
      </c>
      <c r="D9" s="26" t="s">
        <v>426</v>
      </c>
      <c r="E9" s="26" t="s">
        <v>372</v>
      </c>
      <c r="F9" s="17" t="s">
        <v>891</v>
      </c>
      <c r="G9" s="17" t="s">
        <v>122</v>
      </c>
      <c r="J9" s="17" t="s">
        <v>892</v>
      </c>
    </row>
    <row r="11" spans="1:16" ht="8.1" customHeight="1" x14ac:dyDescent="0.25"/>
  </sheetData>
  <mergeCells count="2">
    <mergeCell ref="B2:P2"/>
    <mergeCell ref="A1:P1"/>
  </mergeCells>
  <phoneticPr fontId="8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F84D-9D2A-4DB1-9A58-1A9067CCAC52}">
  <dimension ref="A1:K6"/>
  <sheetViews>
    <sheetView showGridLines="0" workbookViewId="0">
      <pane ySplit="3" topLeftCell="A4" activePane="bottomLeft" state="frozen"/>
      <selection sqref="A1:G1"/>
      <selection pane="bottomLeft" activeCell="C11" sqref="C11"/>
    </sheetView>
  </sheetViews>
  <sheetFormatPr defaultRowHeight="15" x14ac:dyDescent="0.25"/>
  <cols>
    <col min="1" max="1" width="9.140625" style="17"/>
    <col min="2" max="2" width="18" style="17" customWidth="1"/>
    <col min="3" max="3" width="12" style="17" customWidth="1"/>
    <col min="4" max="4" width="24" style="17" customWidth="1"/>
    <col min="5" max="5" width="12" style="17" customWidth="1"/>
    <col min="6" max="6" width="22" style="17" customWidth="1"/>
    <col min="7" max="8" width="14" style="17" customWidth="1"/>
    <col min="9" max="9" width="12" style="17" customWidth="1"/>
    <col min="10" max="10" width="22" style="17" customWidth="1"/>
    <col min="11" max="11" width="28" style="17" customWidth="1"/>
    <col min="12" max="16384" width="9.140625" style="17"/>
  </cols>
  <sheetData>
    <row r="1" spans="1:11" ht="24" customHeight="1" x14ac:dyDescent="0.25">
      <c r="A1" s="37" t="s">
        <v>407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4.1" customHeight="1" x14ac:dyDescent="0.25">
      <c r="B2" s="39" t="s">
        <v>408</v>
      </c>
      <c r="C2" s="38"/>
      <c r="D2" s="38"/>
      <c r="E2" s="38"/>
      <c r="F2" s="38"/>
      <c r="G2" s="38"/>
      <c r="H2" s="38"/>
      <c r="I2" s="38"/>
      <c r="J2" s="38"/>
      <c r="K2" s="38"/>
    </row>
    <row r="3" spans="1:11" ht="32.1" customHeight="1" x14ac:dyDescent="0.25">
      <c r="A3" s="18" t="s">
        <v>896</v>
      </c>
      <c r="B3" s="18" t="s">
        <v>890</v>
      </c>
      <c r="C3" s="18" t="s">
        <v>343</v>
      </c>
      <c r="D3" s="18" t="s">
        <v>409</v>
      </c>
      <c r="E3" s="18" t="s">
        <v>410</v>
      </c>
      <c r="F3" s="18" t="s">
        <v>411</v>
      </c>
      <c r="G3" s="18" t="s">
        <v>412</v>
      </c>
      <c r="H3" s="18" t="s">
        <v>413</v>
      </c>
      <c r="I3" s="18" t="s">
        <v>414</v>
      </c>
      <c r="J3" s="18" t="s">
        <v>415</v>
      </c>
      <c r="K3" s="18" t="s">
        <v>121</v>
      </c>
    </row>
    <row r="4" spans="1:11" x14ac:dyDescent="0.25">
      <c r="A4" s="19">
        <v>1</v>
      </c>
      <c r="B4" s="19" t="s">
        <v>416</v>
      </c>
      <c r="C4" s="19" t="s">
        <v>350</v>
      </c>
      <c r="D4" s="19" t="s">
        <v>351</v>
      </c>
      <c r="E4" s="19">
        <v>500</v>
      </c>
      <c r="F4" s="19" t="s">
        <v>417</v>
      </c>
      <c r="G4" s="19" t="s">
        <v>418</v>
      </c>
      <c r="H4" s="19" t="s">
        <v>419</v>
      </c>
      <c r="I4" s="19" t="s">
        <v>420</v>
      </c>
      <c r="J4" s="19" t="s">
        <v>400</v>
      </c>
      <c r="K4" s="19"/>
    </row>
    <row r="5" spans="1:11" x14ac:dyDescent="0.25">
      <c r="A5" s="20">
        <v>2</v>
      </c>
      <c r="B5" s="20" t="s">
        <v>421</v>
      </c>
      <c r="C5" s="20" t="s">
        <v>356</v>
      </c>
      <c r="D5" s="20" t="s">
        <v>357</v>
      </c>
      <c r="E5" s="20">
        <v>300</v>
      </c>
      <c r="F5" s="20" t="s">
        <v>422</v>
      </c>
      <c r="G5" s="20" t="s">
        <v>423</v>
      </c>
      <c r="H5" s="20" t="s">
        <v>424</v>
      </c>
      <c r="I5" s="20" t="s">
        <v>420</v>
      </c>
      <c r="J5" s="20" t="s">
        <v>400</v>
      </c>
      <c r="K5" s="20" t="s">
        <v>425</v>
      </c>
    </row>
    <row r="6" spans="1:11" x14ac:dyDescent="0.25">
      <c r="A6" s="19">
        <v>3</v>
      </c>
      <c r="B6" s="19" t="s">
        <v>426</v>
      </c>
      <c r="C6" s="19" t="s">
        <v>372</v>
      </c>
      <c r="D6" s="19" t="s">
        <v>891</v>
      </c>
      <c r="E6" s="19">
        <v>1</v>
      </c>
      <c r="F6" s="19" t="s">
        <v>417</v>
      </c>
      <c r="G6" s="19" t="s">
        <v>427</v>
      </c>
      <c r="H6" s="19" t="s">
        <v>428</v>
      </c>
      <c r="I6" s="19" t="s">
        <v>420</v>
      </c>
      <c r="J6" s="19" t="s">
        <v>400</v>
      </c>
      <c r="K6" s="19"/>
    </row>
  </sheetData>
  <mergeCells count="2">
    <mergeCell ref="B2:K2"/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A1D6-D94D-4936-BB6C-7DE83EE6326A}">
  <dimension ref="A1:G10"/>
  <sheetViews>
    <sheetView showGridLines="0" workbookViewId="0">
      <pane ySplit="3" topLeftCell="A4" activePane="bottomLeft" state="frozen"/>
      <selection pane="bottomLeft" activeCell="D17" sqref="D17"/>
    </sheetView>
  </sheetViews>
  <sheetFormatPr defaultRowHeight="15" x14ac:dyDescent="0.25"/>
  <cols>
    <col min="1" max="1" width="6" style="17" customWidth="1"/>
    <col min="2" max="2" width="28" style="17" customWidth="1"/>
    <col min="3" max="3" width="16" style="17" customWidth="1"/>
    <col min="4" max="4" width="28" style="17" customWidth="1"/>
    <col min="5" max="5" width="38" style="17" customWidth="1"/>
    <col min="6" max="6" width="10" style="17" customWidth="1"/>
    <col min="7" max="7" width="28" style="17" customWidth="1"/>
    <col min="8" max="16384" width="9.140625" style="17"/>
  </cols>
  <sheetData>
    <row r="1" spans="1:7" ht="24" customHeight="1" x14ac:dyDescent="0.25">
      <c r="A1" s="37" t="s">
        <v>387</v>
      </c>
      <c r="B1" s="38"/>
      <c r="C1" s="38"/>
      <c r="D1" s="38"/>
      <c r="E1" s="38"/>
      <c r="F1" s="38"/>
      <c r="G1" s="38"/>
    </row>
    <row r="2" spans="1:7" ht="14.1" customHeight="1" x14ac:dyDescent="0.25">
      <c r="A2" s="39" t="s">
        <v>883</v>
      </c>
      <c r="B2" s="38"/>
      <c r="C2" s="38"/>
      <c r="D2" s="38"/>
      <c r="E2" s="38"/>
      <c r="F2" s="38"/>
      <c r="G2" s="38"/>
    </row>
    <row r="3" spans="1:7" ht="32.1" customHeight="1" x14ac:dyDescent="0.25">
      <c r="A3" s="18" t="s">
        <v>0</v>
      </c>
      <c r="B3" s="18" t="s">
        <v>388</v>
      </c>
      <c r="C3" s="18" t="s">
        <v>389</v>
      </c>
      <c r="D3" s="18" t="s">
        <v>390</v>
      </c>
      <c r="E3" s="18" t="s">
        <v>391</v>
      </c>
      <c r="F3" s="18" t="s">
        <v>349</v>
      </c>
      <c r="G3" s="18" t="s">
        <v>121</v>
      </c>
    </row>
    <row r="4" spans="1:7" x14ac:dyDescent="0.25">
      <c r="A4" s="19">
        <v>1</v>
      </c>
      <c r="B4" s="19" t="s">
        <v>392</v>
      </c>
      <c r="C4" s="19" t="s">
        <v>393</v>
      </c>
      <c r="D4" s="19" t="s">
        <v>394</v>
      </c>
      <c r="E4" s="19" t="s">
        <v>395</v>
      </c>
      <c r="F4" s="19" t="s">
        <v>354</v>
      </c>
      <c r="G4" s="19"/>
    </row>
    <row r="5" spans="1:7" x14ac:dyDescent="0.25">
      <c r="A5" s="20">
        <v>2</v>
      </c>
      <c r="B5" s="20" t="s">
        <v>396</v>
      </c>
      <c r="C5" s="20" t="s">
        <v>393</v>
      </c>
      <c r="D5" s="20" t="s">
        <v>397</v>
      </c>
      <c r="E5" s="20" t="s">
        <v>395</v>
      </c>
      <c r="F5" s="20" t="s">
        <v>354</v>
      </c>
      <c r="G5" s="20"/>
    </row>
    <row r="6" spans="1:7" x14ac:dyDescent="0.25">
      <c r="A6" s="19">
        <v>3</v>
      </c>
      <c r="B6" s="19" t="s">
        <v>398</v>
      </c>
      <c r="C6" s="19" t="s">
        <v>393</v>
      </c>
      <c r="D6" s="19" t="s">
        <v>399</v>
      </c>
      <c r="E6" s="19" t="s">
        <v>395</v>
      </c>
      <c r="F6" s="19" t="s">
        <v>354</v>
      </c>
      <c r="G6" s="19"/>
    </row>
    <row r="7" spans="1:7" x14ac:dyDescent="0.25">
      <c r="A7" s="20">
        <v>4</v>
      </c>
      <c r="B7" s="20" t="s">
        <v>400</v>
      </c>
      <c r="C7" s="20" t="s">
        <v>401</v>
      </c>
      <c r="D7" s="20" t="s">
        <v>402</v>
      </c>
      <c r="E7" s="20" t="s">
        <v>395</v>
      </c>
      <c r="F7" s="20" t="s">
        <v>354</v>
      </c>
      <c r="G7" s="20"/>
    </row>
    <row r="8" spans="1:7" x14ac:dyDescent="0.25">
      <c r="A8" s="19">
        <v>5</v>
      </c>
      <c r="B8" s="19" t="s">
        <v>403</v>
      </c>
      <c r="C8" s="19" t="s">
        <v>404</v>
      </c>
      <c r="D8" s="19" t="s">
        <v>405</v>
      </c>
      <c r="E8" s="19" t="s">
        <v>395</v>
      </c>
      <c r="F8" s="19" t="s">
        <v>354</v>
      </c>
      <c r="G8" s="19" t="s">
        <v>406</v>
      </c>
    </row>
    <row r="10" spans="1:7" ht="14.1" customHeight="1" x14ac:dyDescent="0.25">
      <c r="A10" s="39"/>
      <c r="B10" s="38"/>
      <c r="C10" s="38"/>
      <c r="D10" s="38"/>
      <c r="E10" s="38"/>
      <c r="F10" s="38"/>
      <c r="G10" s="38"/>
    </row>
  </sheetData>
  <mergeCells count="3">
    <mergeCell ref="A1:G1"/>
    <mergeCell ref="A2:G2"/>
    <mergeCell ref="A10:G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4F51-43CB-4AF9-BE51-19B8D190AE71}">
  <dimension ref="A1:O63"/>
  <sheetViews>
    <sheetView workbookViewId="0">
      <selection activeCell="G8" sqref="G8"/>
    </sheetView>
  </sheetViews>
  <sheetFormatPr defaultRowHeight="15" x14ac:dyDescent="0.25"/>
  <cols>
    <col min="2" max="2" width="16" bestFit="1" customWidth="1"/>
    <col min="3" max="3" width="30.42578125" bestFit="1" customWidth="1"/>
    <col min="4" max="4" width="31.85546875" bestFit="1" customWidth="1"/>
    <col min="5" max="5" width="35.5703125" bestFit="1" customWidth="1"/>
  </cols>
  <sheetData>
    <row r="1" spans="1:15" x14ac:dyDescent="0.25">
      <c r="A1" s="46" t="s">
        <v>385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x14ac:dyDescent="0.25">
      <c r="A2" s="45" t="s">
        <v>893</v>
      </c>
      <c r="B2" s="45"/>
      <c r="C2" s="45"/>
      <c r="D2" s="45"/>
      <c r="E2" s="45"/>
    </row>
    <row r="3" spans="1:15" x14ac:dyDescent="0.25">
      <c r="A3" s="18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15" x14ac:dyDescent="0.25">
      <c r="A4" s="19">
        <v>1</v>
      </c>
      <c r="B4" s="3" t="s">
        <v>5</v>
      </c>
      <c r="C4" s="4" t="s">
        <v>6</v>
      </c>
      <c r="D4" s="4" t="s">
        <v>7</v>
      </c>
      <c r="E4" s="4" t="s">
        <v>8</v>
      </c>
    </row>
    <row r="5" spans="1:15" x14ac:dyDescent="0.25">
      <c r="A5" s="20">
        <v>2</v>
      </c>
      <c r="B5" s="6" t="s">
        <v>5</v>
      </c>
      <c r="C5" s="7" t="s">
        <v>9</v>
      </c>
      <c r="D5" s="7" t="s">
        <v>10</v>
      </c>
      <c r="E5" s="7" t="s">
        <v>11</v>
      </c>
    </row>
    <row r="6" spans="1:15" x14ac:dyDescent="0.25">
      <c r="A6" s="19">
        <v>3</v>
      </c>
      <c r="B6" s="3" t="s">
        <v>5</v>
      </c>
      <c r="C6" s="4" t="s">
        <v>9</v>
      </c>
      <c r="D6" s="4" t="s">
        <v>7</v>
      </c>
      <c r="E6" s="4" t="s">
        <v>12</v>
      </c>
    </row>
    <row r="7" spans="1:15" x14ac:dyDescent="0.25">
      <c r="A7" s="20">
        <v>4</v>
      </c>
      <c r="B7" s="6" t="s">
        <v>5</v>
      </c>
      <c r="C7" s="7" t="s">
        <v>9</v>
      </c>
      <c r="D7" s="7" t="s">
        <v>10</v>
      </c>
      <c r="E7" s="7" t="s">
        <v>11</v>
      </c>
    </row>
    <row r="8" spans="1:15" x14ac:dyDescent="0.25">
      <c r="A8" s="19">
        <v>5</v>
      </c>
      <c r="B8" s="3" t="s">
        <v>5</v>
      </c>
      <c r="C8" s="4" t="s">
        <v>13</v>
      </c>
      <c r="D8" s="4" t="s">
        <v>14</v>
      </c>
      <c r="E8" s="4" t="s">
        <v>15</v>
      </c>
    </row>
    <row r="9" spans="1:15" x14ac:dyDescent="0.25">
      <c r="A9" s="19">
        <v>6</v>
      </c>
      <c r="B9" s="6" t="s">
        <v>5</v>
      </c>
      <c r="C9" s="7" t="s">
        <v>16</v>
      </c>
      <c r="D9" s="7" t="s">
        <v>7</v>
      </c>
      <c r="E9" s="7" t="s">
        <v>8</v>
      </c>
    </row>
    <row r="10" spans="1:15" x14ac:dyDescent="0.25">
      <c r="A10" s="19">
        <v>7</v>
      </c>
      <c r="B10" s="3" t="s">
        <v>5</v>
      </c>
      <c r="C10" s="4" t="s">
        <v>16</v>
      </c>
      <c r="D10" s="4" t="s">
        <v>17</v>
      </c>
      <c r="E10" s="4" t="s">
        <v>12</v>
      </c>
    </row>
    <row r="11" spans="1:15" x14ac:dyDescent="0.25">
      <c r="A11" s="19">
        <v>8</v>
      </c>
      <c r="B11" s="6" t="s">
        <v>5</v>
      </c>
      <c r="C11" s="7" t="s">
        <v>18</v>
      </c>
      <c r="D11" s="7" t="s">
        <v>19</v>
      </c>
      <c r="E11" s="7" t="s">
        <v>20</v>
      </c>
    </row>
    <row r="12" spans="1:15" x14ac:dyDescent="0.25">
      <c r="A12" s="19">
        <v>9</v>
      </c>
      <c r="B12" s="3" t="s">
        <v>5</v>
      </c>
      <c r="C12" s="4" t="s">
        <v>21</v>
      </c>
      <c r="D12" s="4" t="s">
        <v>22</v>
      </c>
      <c r="E12" s="4" t="s">
        <v>23</v>
      </c>
    </row>
    <row r="13" spans="1:15" x14ac:dyDescent="0.25">
      <c r="A13" s="19">
        <v>10</v>
      </c>
      <c r="B13" s="6" t="s">
        <v>5</v>
      </c>
      <c r="C13" s="7" t="s">
        <v>21</v>
      </c>
      <c r="D13" s="7" t="s">
        <v>22</v>
      </c>
      <c r="E13" s="7" t="s">
        <v>24</v>
      </c>
    </row>
    <row r="14" spans="1:15" x14ac:dyDescent="0.25">
      <c r="A14" s="19">
        <v>11</v>
      </c>
      <c r="B14" s="3" t="s">
        <v>5</v>
      </c>
      <c r="C14" s="4" t="s">
        <v>21</v>
      </c>
      <c r="D14" s="4" t="s">
        <v>22</v>
      </c>
      <c r="E14" s="4" t="s">
        <v>25</v>
      </c>
    </row>
    <row r="15" spans="1:15" x14ac:dyDescent="0.25">
      <c r="A15" s="19">
        <v>12</v>
      </c>
      <c r="B15" s="6" t="s">
        <v>26</v>
      </c>
      <c r="C15" s="7" t="s">
        <v>27</v>
      </c>
      <c r="D15" s="7" t="s">
        <v>28</v>
      </c>
      <c r="E15" s="7" t="s">
        <v>29</v>
      </c>
    </row>
    <row r="16" spans="1:15" x14ac:dyDescent="0.25">
      <c r="A16" s="19">
        <v>13</v>
      </c>
      <c r="B16" s="3" t="s">
        <v>26</v>
      </c>
      <c r="C16" s="4" t="s">
        <v>30</v>
      </c>
      <c r="D16" s="4" t="s">
        <v>31</v>
      </c>
      <c r="E16" s="4" t="s">
        <v>32</v>
      </c>
    </row>
    <row r="17" spans="1:5" x14ac:dyDescent="0.25">
      <c r="A17" s="19">
        <v>14</v>
      </c>
      <c r="B17" s="6" t="s">
        <v>26</v>
      </c>
      <c r="C17" s="7" t="s">
        <v>33</v>
      </c>
      <c r="D17" s="7" t="s">
        <v>34</v>
      </c>
      <c r="E17" s="7" t="s">
        <v>35</v>
      </c>
    </row>
    <row r="18" spans="1:5" x14ac:dyDescent="0.25">
      <c r="A18" s="19">
        <v>15</v>
      </c>
      <c r="B18" s="3" t="s">
        <v>26</v>
      </c>
      <c r="C18" s="4" t="s">
        <v>36</v>
      </c>
      <c r="D18" s="4" t="s">
        <v>37</v>
      </c>
      <c r="E18" s="4" t="s">
        <v>38</v>
      </c>
    </row>
    <row r="19" spans="1:5" x14ac:dyDescent="0.25">
      <c r="A19" s="19">
        <v>16</v>
      </c>
      <c r="B19" s="6" t="s">
        <v>26</v>
      </c>
      <c r="C19" s="7" t="s">
        <v>21</v>
      </c>
      <c r="D19" s="7" t="s">
        <v>39</v>
      </c>
      <c r="E19" s="7" t="s">
        <v>40</v>
      </c>
    </row>
    <row r="20" spans="1:5" x14ac:dyDescent="0.25">
      <c r="A20" s="19">
        <v>17</v>
      </c>
      <c r="B20" s="3" t="s">
        <v>26</v>
      </c>
      <c r="C20" s="4" t="s">
        <v>21</v>
      </c>
      <c r="D20" s="4" t="s">
        <v>41</v>
      </c>
      <c r="E20" s="4" t="s">
        <v>42</v>
      </c>
    </row>
    <row r="21" spans="1:5" x14ac:dyDescent="0.25">
      <c r="A21" s="19">
        <v>18</v>
      </c>
      <c r="B21" s="6" t="s">
        <v>26</v>
      </c>
      <c r="C21" s="7" t="s">
        <v>21</v>
      </c>
      <c r="D21" s="7" t="s">
        <v>41</v>
      </c>
      <c r="E21" s="7" t="s">
        <v>43</v>
      </c>
    </row>
    <row r="22" spans="1:5" x14ac:dyDescent="0.25">
      <c r="A22" s="19">
        <v>19</v>
      </c>
      <c r="B22" s="3" t="s">
        <v>44</v>
      </c>
      <c r="C22" s="4" t="s">
        <v>45</v>
      </c>
      <c r="D22" s="4" t="s">
        <v>46</v>
      </c>
      <c r="E22" s="4" t="s">
        <v>47</v>
      </c>
    </row>
    <row r="23" spans="1:5" x14ac:dyDescent="0.25">
      <c r="A23" s="19">
        <v>20</v>
      </c>
      <c r="B23" s="6" t="s">
        <v>44</v>
      </c>
      <c r="C23" s="7" t="s">
        <v>48</v>
      </c>
      <c r="D23" s="7" t="s">
        <v>49</v>
      </c>
      <c r="E23" s="7" t="s">
        <v>50</v>
      </c>
    </row>
    <row r="24" spans="1:5" x14ac:dyDescent="0.25">
      <c r="A24" s="19">
        <v>21</v>
      </c>
      <c r="B24" s="3" t="s">
        <v>44</v>
      </c>
      <c r="C24" s="4" t="s">
        <v>48</v>
      </c>
      <c r="D24" s="4" t="s">
        <v>51</v>
      </c>
      <c r="E24" s="4" t="s">
        <v>52</v>
      </c>
    </row>
    <row r="25" spans="1:5" x14ac:dyDescent="0.25">
      <c r="A25" s="19">
        <v>22</v>
      </c>
      <c r="B25" s="6" t="s">
        <v>44</v>
      </c>
      <c r="C25" s="7" t="s">
        <v>48</v>
      </c>
      <c r="D25" s="7" t="s">
        <v>53</v>
      </c>
      <c r="E25" s="7" t="s">
        <v>54</v>
      </c>
    </row>
    <row r="26" spans="1:5" x14ac:dyDescent="0.25">
      <c r="A26" s="19">
        <v>23</v>
      </c>
      <c r="B26" s="3" t="s">
        <v>44</v>
      </c>
      <c r="C26" s="4" t="s">
        <v>48</v>
      </c>
      <c r="D26" s="4" t="s">
        <v>55</v>
      </c>
      <c r="E26" s="4" t="s">
        <v>56</v>
      </c>
    </row>
    <row r="27" spans="1:5" x14ac:dyDescent="0.25">
      <c r="A27" s="19">
        <v>24</v>
      </c>
      <c r="B27" s="6" t="s">
        <v>44</v>
      </c>
      <c r="C27" s="7" t="s">
        <v>48</v>
      </c>
      <c r="D27" s="7" t="s">
        <v>57</v>
      </c>
      <c r="E27" s="7" t="s">
        <v>56</v>
      </c>
    </row>
    <row r="28" spans="1:5" x14ac:dyDescent="0.25">
      <c r="A28" s="19">
        <v>25</v>
      </c>
      <c r="B28" s="3" t="s">
        <v>44</v>
      </c>
      <c r="C28" s="4" t="s">
        <v>48</v>
      </c>
      <c r="D28" s="4" t="s">
        <v>58</v>
      </c>
      <c r="E28" s="4" t="s">
        <v>56</v>
      </c>
    </row>
    <row r="29" spans="1:5" x14ac:dyDescent="0.25">
      <c r="A29" s="19">
        <v>26</v>
      </c>
      <c r="B29" s="6" t="s">
        <v>44</v>
      </c>
      <c r="C29" s="7" t="s">
        <v>48</v>
      </c>
      <c r="D29" s="7" t="s">
        <v>59</v>
      </c>
      <c r="E29" s="7" t="s">
        <v>56</v>
      </c>
    </row>
    <row r="30" spans="1:5" x14ac:dyDescent="0.25">
      <c r="A30" s="19">
        <v>27</v>
      </c>
      <c r="B30" s="3" t="s">
        <v>44</v>
      </c>
      <c r="C30" s="4" t="s">
        <v>48</v>
      </c>
      <c r="D30" s="4" t="s">
        <v>60</v>
      </c>
      <c r="E30" s="4" t="s">
        <v>56</v>
      </c>
    </row>
    <row r="31" spans="1:5" x14ac:dyDescent="0.25">
      <c r="A31" s="19">
        <v>28</v>
      </c>
      <c r="B31" s="6" t="s">
        <v>44</v>
      </c>
      <c r="C31" s="7" t="s">
        <v>48</v>
      </c>
      <c r="D31" s="7" t="s">
        <v>61</v>
      </c>
      <c r="E31" s="7" t="s">
        <v>56</v>
      </c>
    </row>
    <row r="32" spans="1:5" x14ac:dyDescent="0.25">
      <c r="A32" s="19">
        <v>29</v>
      </c>
      <c r="B32" s="3" t="s">
        <v>44</v>
      </c>
      <c r="C32" s="4" t="s">
        <v>48</v>
      </c>
      <c r="D32" s="4" t="s">
        <v>62</v>
      </c>
      <c r="E32" s="4" t="s">
        <v>56</v>
      </c>
    </row>
    <row r="33" spans="1:5" x14ac:dyDescent="0.25">
      <c r="A33" s="19">
        <v>30</v>
      </c>
      <c r="B33" s="6" t="s">
        <v>63</v>
      </c>
      <c r="C33" s="7" t="s">
        <v>64</v>
      </c>
      <c r="D33" s="7" t="s">
        <v>65</v>
      </c>
      <c r="E33" s="7" t="s">
        <v>66</v>
      </c>
    </row>
    <row r="34" spans="1:5" x14ac:dyDescent="0.25">
      <c r="A34" s="19">
        <v>31</v>
      </c>
      <c r="B34" s="3" t="s">
        <v>63</v>
      </c>
      <c r="C34" s="4" t="s">
        <v>64</v>
      </c>
      <c r="D34" s="4" t="s">
        <v>67</v>
      </c>
      <c r="E34" s="4" t="s">
        <v>68</v>
      </c>
    </row>
    <row r="35" spans="1:5" x14ac:dyDescent="0.25">
      <c r="A35" s="19">
        <v>32</v>
      </c>
      <c r="B35" s="6" t="s">
        <v>63</v>
      </c>
      <c r="C35" s="7" t="s">
        <v>64</v>
      </c>
      <c r="D35" s="7" t="s">
        <v>69</v>
      </c>
      <c r="E35" s="7" t="s">
        <v>70</v>
      </c>
    </row>
    <row r="36" spans="1:5" x14ac:dyDescent="0.25">
      <c r="A36" s="19">
        <v>33</v>
      </c>
      <c r="B36" s="3" t="s">
        <v>63</v>
      </c>
      <c r="C36" s="4" t="s">
        <v>64</v>
      </c>
      <c r="D36" s="4" t="s">
        <v>71</v>
      </c>
      <c r="E36" s="4" t="s">
        <v>72</v>
      </c>
    </row>
    <row r="37" spans="1:5" x14ac:dyDescent="0.25">
      <c r="A37" s="19">
        <v>34</v>
      </c>
      <c r="B37" s="6" t="s">
        <v>63</v>
      </c>
      <c r="C37" s="7" t="s">
        <v>64</v>
      </c>
      <c r="D37" s="7" t="s">
        <v>73</v>
      </c>
      <c r="E37" s="7" t="s">
        <v>74</v>
      </c>
    </row>
    <row r="38" spans="1:5" x14ac:dyDescent="0.25">
      <c r="A38" s="19">
        <v>35</v>
      </c>
      <c r="B38" s="3" t="s">
        <v>63</v>
      </c>
      <c r="C38" s="4" t="s">
        <v>64</v>
      </c>
      <c r="D38" s="4" t="s">
        <v>75</v>
      </c>
      <c r="E38" s="4" t="s">
        <v>74</v>
      </c>
    </row>
    <row r="39" spans="1:5" x14ac:dyDescent="0.25">
      <c r="A39" s="19">
        <v>36</v>
      </c>
      <c r="B39" s="6" t="s">
        <v>63</v>
      </c>
      <c r="C39" s="7" t="s">
        <v>64</v>
      </c>
      <c r="D39" s="7" t="s">
        <v>76</v>
      </c>
      <c r="E39" s="7" t="s">
        <v>74</v>
      </c>
    </row>
    <row r="40" spans="1:5" x14ac:dyDescent="0.25">
      <c r="A40" s="19">
        <v>37</v>
      </c>
      <c r="B40" s="3" t="s">
        <v>63</v>
      </c>
      <c r="C40" s="4" t="s">
        <v>64</v>
      </c>
      <c r="D40" s="4" t="s">
        <v>77</v>
      </c>
      <c r="E40" s="4" t="s">
        <v>74</v>
      </c>
    </row>
    <row r="41" spans="1:5" x14ac:dyDescent="0.25">
      <c r="A41" s="19">
        <v>38</v>
      </c>
      <c r="B41" s="6" t="s">
        <v>63</v>
      </c>
      <c r="C41" s="7" t="s">
        <v>64</v>
      </c>
      <c r="D41" s="7" t="s">
        <v>78</v>
      </c>
      <c r="E41" s="7" t="s">
        <v>74</v>
      </c>
    </row>
    <row r="42" spans="1:5" x14ac:dyDescent="0.25">
      <c r="A42" s="19">
        <v>39</v>
      </c>
      <c r="B42" s="3" t="s">
        <v>63</v>
      </c>
      <c r="C42" s="4" t="s">
        <v>64</v>
      </c>
      <c r="D42" s="4" t="s">
        <v>79</v>
      </c>
      <c r="E42" s="4" t="s">
        <v>74</v>
      </c>
    </row>
    <row r="43" spans="1:5" x14ac:dyDescent="0.25">
      <c r="A43" s="19">
        <v>40</v>
      </c>
      <c r="B43" s="6" t="s">
        <v>63</v>
      </c>
      <c r="C43" s="7" t="s">
        <v>64</v>
      </c>
      <c r="D43" s="7" t="s">
        <v>80</v>
      </c>
      <c r="E43" s="7" t="s">
        <v>74</v>
      </c>
    </row>
    <row r="44" spans="1:5" x14ac:dyDescent="0.25">
      <c r="A44" s="19">
        <v>41</v>
      </c>
      <c r="B44" s="3" t="s">
        <v>63</v>
      </c>
      <c r="C44" s="4" t="s">
        <v>64</v>
      </c>
      <c r="D44" s="8" t="s">
        <v>81</v>
      </c>
      <c r="E44" s="4" t="s">
        <v>74</v>
      </c>
    </row>
    <row r="45" spans="1:5" x14ac:dyDescent="0.25">
      <c r="A45" s="19">
        <v>42</v>
      </c>
      <c r="B45" s="6" t="s">
        <v>63</v>
      </c>
      <c r="C45" s="7" t="s">
        <v>64</v>
      </c>
      <c r="D45" s="7" t="s">
        <v>21</v>
      </c>
      <c r="E45" s="7" t="s">
        <v>74</v>
      </c>
    </row>
    <row r="46" spans="1:5" x14ac:dyDescent="0.25">
      <c r="A46" s="19">
        <v>43</v>
      </c>
      <c r="B46" s="3" t="s">
        <v>82</v>
      </c>
      <c r="C46" s="4" t="s">
        <v>83</v>
      </c>
      <c r="D46" s="4" t="s">
        <v>84</v>
      </c>
      <c r="E46" s="4" t="s">
        <v>85</v>
      </c>
    </row>
    <row r="47" spans="1:5" x14ac:dyDescent="0.25">
      <c r="A47" s="19">
        <v>44</v>
      </c>
      <c r="B47" s="6" t="s">
        <v>82</v>
      </c>
      <c r="C47" s="7" t="s">
        <v>86</v>
      </c>
      <c r="D47" s="7" t="s">
        <v>62</v>
      </c>
      <c r="E47" s="7" t="s">
        <v>87</v>
      </c>
    </row>
    <row r="48" spans="1:5" x14ac:dyDescent="0.25">
      <c r="A48" s="19">
        <v>45</v>
      </c>
      <c r="B48" s="3" t="s">
        <v>82</v>
      </c>
      <c r="C48" s="4" t="s">
        <v>86</v>
      </c>
      <c r="D48" s="4" t="s">
        <v>88</v>
      </c>
      <c r="E48" s="4" t="s">
        <v>89</v>
      </c>
    </row>
    <row r="49" spans="1:5" x14ac:dyDescent="0.25">
      <c r="A49" s="19">
        <v>46</v>
      </c>
      <c r="B49" s="6" t="s">
        <v>82</v>
      </c>
      <c r="C49" s="7" t="s">
        <v>90</v>
      </c>
      <c r="D49" s="7" t="s">
        <v>91</v>
      </c>
      <c r="E49" s="7" t="s">
        <v>92</v>
      </c>
    </row>
    <row r="50" spans="1:5" x14ac:dyDescent="0.25">
      <c r="A50" s="19">
        <v>47</v>
      </c>
      <c r="B50" s="3" t="s">
        <v>82</v>
      </c>
      <c r="C50" s="4" t="s">
        <v>86</v>
      </c>
      <c r="D50" s="4" t="s">
        <v>93</v>
      </c>
      <c r="E50" s="4" t="s">
        <v>92</v>
      </c>
    </row>
    <row r="51" spans="1:5" x14ac:dyDescent="0.25">
      <c r="A51" s="19">
        <v>48</v>
      </c>
      <c r="B51" s="6" t="s">
        <v>94</v>
      </c>
      <c r="C51" s="7" t="s">
        <v>95</v>
      </c>
      <c r="D51" s="7" t="s">
        <v>96</v>
      </c>
      <c r="E51" s="7" t="s">
        <v>97</v>
      </c>
    </row>
    <row r="52" spans="1:5" x14ac:dyDescent="0.25">
      <c r="A52" s="19">
        <v>49</v>
      </c>
      <c r="B52" s="3" t="s">
        <v>94</v>
      </c>
      <c r="C52" s="4" t="s">
        <v>95</v>
      </c>
      <c r="D52" s="4" t="s">
        <v>98</v>
      </c>
      <c r="E52" s="4" t="s">
        <v>99</v>
      </c>
    </row>
    <row r="53" spans="1:5" x14ac:dyDescent="0.25">
      <c r="A53" s="19">
        <v>50</v>
      </c>
      <c r="B53" s="6" t="s">
        <v>94</v>
      </c>
      <c r="C53" s="7" t="s">
        <v>95</v>
      </c>
      <c r="D53" s="7" t="s">
        <v>100</v>
      </c>
      <c r="E53" s="7" t="s">
        <v>101</v>
      </c>
    </row>
    <row r="54" spans="1:5" x14ac:dyDescent="0.25">
      <c r="A54" s="19">
        <v>51</v>
      </c>
      <c r="B54" s="3" t="s">
        <v>94</v>
      </c>
      <c r="C54" s="4" t="s">
        <v>95</v>
      </c>
      <c r="D54" s="4" t="s">
        <v>102</v>
      </c>
      <c r="E54" s="8" t="s">
        <v>103</v>
      </c>
    </row>
    <row r="55" spans="1:5" x14ac:dyDescent="0.25">
      <c r="A55" s="19">
        <v>52</v>
      </c>
      <c r="B55" s="6" t="s">
        <v>94</v>
      </c>
      <c r="C55" s="7" t="s">
        <v>95</v>
      </c>
      <c r="D55" s="7" t="s">
        <v>104</v>
      </c>
      <c r="E55" s="7" t="s">
        <v>105</v>
      </c>
    </row>
    <row r="56" spans="1:5" x14ac:dyDescent="0.25">
      <c r="A56" s="19">
        <v>53</v>
      </c>
      <c r="B56" s="3" t="s">
        <v>94</v>
      </c>
      <c r="C56" s="4" t="s">
        <v>95</v>
      </c>
      <c r="D56" s="8" t="s">
        <v>106</v>
      </c>
      <c r="E56" s="4" t="s">
        <v>105</v>
      </c>
    </row>
    <row r="57" spans="1:5" x14ac:dyDescent="0.25">
      <c r="A57" s="19">
        <v>54</v>
      </c>
      <c r="B57" s="6" t="s">
        <v>94</v>
      </c>
      <c r="C57" s="7" t="s">
        <v>95</v>
      </c>
      <c r="D57" s="7" t="s">
        <v>107</v>
      </c>
      <c r="E57" s="7" t="s">
        <v>105</v>
      </c>
    </row>
    <row r="58" spans="1:5" x14ac:dyDescent="0.25">
      <c r="A58" s="19">
        <v>55</v>
      </c>
      <c r="B58" s="3" t="s">
        <v>94</v>
      </c>
      <c r="C58" s="4" t="s">
        <v>95</v>
      </c>
      <c r="D58" s="4" t="s">
        <v>108</v>
      </c>
      <c r="E58" s="4" t="s">
        <v>105</v>
      </c>
    </row>
    <row r="59" spans="1:5" x14ac:dyDescent="0.25">
      <c r="A59" s="19">
        <v>56</v>
      </c>
      <c r="B59" s="6" t="s">
        <v>109</v>
      </c>
      <c r="C59" s="7" t="s">
        <v>110</v>
      </c>
      <c r="D59" s="7" t="s">
        <v>111</v>
      </c>
      <c r="E59" s="7" t="s">
        <v>112</v>
      </c>
    </row>
    <row r="60" spans="1:5" x14ac:dyDescent="0.25">
      <c r="A60" s="19">
        <v>57</v>
      </c>
      <c r="B60" s="3" t="s">
        <v>109</v>
      </c>
      <c r="C60" s="4" t="s">
        <v>113</v>
      </c>
      <c r="D60" s="4" t="s">
        <v>114</v>
      </c>
      <c r="E60" s="8" t="s">
        <v>115</v>
      </c>
    </row>
    <row r="61" spans="1:5" x14ac:dyDescent="0.25">
      <c r="A61" s="19">
        <v>58</v>
      </c>
      <c r="B61" s="6" t="s">
        <v>109</v>
      </c>
      <c r="C61" s="7" t="s">
        <v>113</v>
      </c>
      <c r="D61" s="7" t="s">
        <v>116</v>
      </c>
      <c r="E61" s="7" t="s">
        <v>92</v>
      </c>
    </row>
    <row r="62" spans="1:5" x14ac:dyDescent="0.25">
      <c r="A62" s="19">
        <v>59</v>
      </c>
      <c r="B62" s="3" t="s">
        <v>109</v>
      </c>
      <c r="C62" s="4" t="s">
        <v>113</v>
      </c>
      <c r="D62" s="4" t="s">
        <v>117</v>
      </c>
      <c r="E62" s="4" t="s">
        <v>118</v>
      </c>
    </row>
    <row r="63" spans="1:5" x14ac:dyDescent="0.25">
      <c r="A63" s="35">
        <v>60</v>
      </c>
      <c r="B63" s="6" t="s">
        <v>109</v>
      </c>
      <c r="C63" s="7" t="s">
        <v>113</v>
      </c>
      <c r="D63" s="7" t="s">
        <v>119</v>
      </c>
      <c r="E63" s="7" t="s">
        <v>120</v>
      </c>
    </row>
  </sheetData>
  <mergeCells count="2">
    <mergeCell ref="A2:E2"/>
    <mergeCell ref="A1:O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0D3C-FEA1-4F16-83C6-1B639CCFD599}">
  <dimension ref="A1:I9"/>
  <sheetViews>
    <sheetView topLeftCell="A3" workbookViewId="0">
      <selection activeCell="L4" sqref="L4"/>
    </sheetView>
  </sheetViews>
  <sheetFormatPr defaultRowHeight="15" x14ac:dyDescent="0.25"/>
  <cols>
    <col min="2" max="2" width="12.42578125" customWidth="1"/>
    <col min="3" max="3" width="15.7109375" customWidth="1"/>
    <col min="5" max="5" width="13" customWidth="1"/>
    <col min="6" max="6" width="15.28515625" customWidth="1"/>
    <col min="7" max="7" width="15.7109375" customWidth="1"/>
    <col min="8" max="8" width="10.85546875" customWidth="1"/>
    <col min="9" max="9" width="13.28515625" customWidth="1"/>
  </cols>
  <sheetData>
    <row r="1" spans="1:9" x14ac:dyDescent="0.25">
      <c r="A1" s="46" t="s">
        <v>386</v>
      </c>
      <c r="B1" s="47"/>
      <c r="C1" s="47"/>
      <c r="D1" s="47"/>
      <c r="E1" s="47"/>
      <c r="F1" s="47"/>
      <c r="G1" s="47"/>
      <c r="H1" s="47"/>
      <c r="I1" s="47"/>
    </row>
    <row r="2" spans="1:9" x14ac:dyDescent="0.25">
      <c r="A2" s="16"/>
    </row>
    <row r="3" spans="1:9" ht="24" x14ac:dyDescent="0.25">
      <c r="A3" s="12" t="s">
        <v>343</v>
      </c>
      <c r="B3" s="12" t="s">
        <v>344</v>
      </c>
      <c r="C3" s="12" t="s">
        <v>345</v>
      </c>
      <c r="D3" s="12" t="s">
        <v>346</v>
      </c>
      <c r="E3" s="12" t="s">
        <v>347</v>
      </c>
      <c r="F3" s="12" t="s">
        <v>348</v>
      </c>
      <c r="G3" s="12" t="s">
        <v>377</v>
      </c>
      <c r="H3" s="12" t="s">
        <v>349</v>
      </c>
      <c r="I3" s="12" t="s">
        <v>121</v>
      </c>
    </row>
    <row r="4" spans="1:9" ht="48" x14ac:dyDescent="0.25">
      <c r="A4" s="13" t="s">
        <v>350</v>
      </c>
      <c r="B4" s="13" t="s">
        <v>351</v>
      </c>
      <c r="C4" s="13" t="s">
        <v>352</v>
      </c>
      <c r="D4" s="13">
        <v>7</v>
      </c>
      <c r="E4" s="13">
        <v>1</v>
      </c>
      <c r="F4" s="14">
        <v>30</v>
      </c>
      <c r="G4" s="15" t="s">
        <v>353</v>
      </c>
      <c r="H4" s="13" t="s">
        <v>354</v>
      </c>
      <c r="I4" s="15" t="s">
        <v>355</v>
      </c>
    </row>
    <row r="5" spans="1:9" ht="48" x14ac:dyDescent="0.25">
      <c r="A5" s="13" t="s">
        <v>356</v>
      </c>
      <c r="B5" s="13" t="s">
        <v>357</v>
      </c>
      <c r="C5" s="13" t="s">
        <v>358</v>
      </c>
      <c r="D5" s="13">
        <v>1</v>
      </c>
      <c r="E5" s="13">
        <v>2</v>
      </c>
      <c r="F5" s="14">
        <v>20</v>
      </c>
      <c r="G5" s="15" t="s">
        <v>359</v>
      </c>
      <c r="H5" s="13" t="s">
        <v>354</v>
      </c>
      <c r="I5" s="15" t="s">
        <v>360</v>
      </c>
    </row>
    <row r="6" spans="1:9" ht="36" x14ac:dyDescent="0.25">
      <c r="A6" s="13" t="s">
        <v>361</v>
      </c>
      <c r="B6" s="13" t="s">
        <v>362</v>
      </c>
      <c r="C6" s="13" t="s">
        <v>363</v>
      </c>
      <c r="D6" s="13">
        <v>11</v>
      </c>
      <c r="E6" s="13">
        <v>3</v>
      </c>
      <c r="F6" s="14">
        <v>25</v>
      </c>
      <c r="G6" s="15" t="s">
        <v>364</v>
      </c>
      <c r="H6" s="13" t="s">
        <v>354</v>
      </c>
      <c r="I6" s="15" t="s">
        <v>365</v>
      </c>
    </row>
    <row r="7" spans="1:9" ht="48" x14ac:dyDescent="0.25">
      <c r="A7" s="13" t="s">
        <v>366</v>
      </c>
      <c r="B7" s="13" t="s">
        <v>367</v>
      </c>
      <c r="C7" s="13" t="s">
        <v>368</v>
      </c>
      <c r="D7" s="13">
        <v>8</v>
      </c>
      <c r="E7" s="13">
        <v>1</v>
      </c>
      <c r="F7" s="14">
        <v>30</v>
      </c>
      <c r="G7" s="15"/>
      <c r="H7" s="13" t="s">
        <v>354</v>
      </c>
      <c r="I7" s="15"/>
    </row>
    <row r="8" spans="1:9" ht="36" x14ac:dyDescent="0.25">
      <c r="A8" s="13" t="s">
        <v>369</v>
      </c>
      <c r="B8" s="13" t="s">
        <v>370</v>
      </c>
      <c r="C8" s="13" t="s">
        <v>371</v>
      </c>
      <c r="D8" s="13">
        <v>7</v>
      </c>
      <c r="E8" s="13">
        <v>2</v>
      </c>
      <c r="F8" s="14">
        <v>20</v>
      </c>
      <c r="G8" s="15"/>
      <c r="H8" s="13" t="s">
        <v>354</v>
      </c>
      <c r="I8" s="15"/>
    </row>
    <row r="9" spans="1:9" ht="60" x14ac:dyDescent="0.25">
      <c r="A9" s="13" t="s">
        <v>372</v>
      </c>
      <c r="B9" s="13" t="s">
        <v>373</v>
      </c>
      <c r="C9" s="13" t="s">
        <v>374</v>
      </c>
      <c r="D9" s="13">
        <v>11</v>
      </c>
      <c r="E9" s="13">
        <v>1</v>
      </c>
      <c r="F9" s="14">
        <v>5</v>
      </c>
      <c r="G9" s="15" t="s">
        <v>375</v>
      </c>
      <c r="H9" s="13" t="s">
        <v>354</v>
      </c>
      <c r="I9" s="15" t="s">
        <v>376</v>
      </c>
    </row>
  </sheetData>
  <mergeCells count="1">
    <mergeCell ref="A1:I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5794-316A-4BD1-82F3-7A3647144A76}">
  <dimension ref="A1:O6"/>
  <sheetViews>
    <sheetView workbookViewId="0">
      <selection activeCell="F11" sqref="F11"/>
    </sheetView>
  </sheetViews>
  <sheetFormatPr defaultRowHeight="15" x14ac:dyDescent="0.25"/>
  <cols>
    <col min="4" max="4" width="10.7109375" customWidth="1"/>
  </cols>
  <sheetData>
    <row r="1" spans="1:15" ht="24" customHeight="1" x14ac:dyDescent="0.25">
      <c r="A1" s="46" t="s">
        <v>385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x14ac:dyDescent="0.25">
      <c r="A2" s="45" t="s">
        <v>382</v>
      </c>
      <c r="B2" s="45"/>
      <c r="C2" s="45"/>
      <c r="D2" s="45"/>
    </row>
    <row r="3" spans="1:15" ht="24" x14ac:dyDescent="0.25">
      <c r="A3" s="1" t="s">
        <v>0</v>
      </c>
      <c r="B3" s="1" t="s">
        <v>378</v>
      </c>
      <c r="C3" s="1" t="s">
        <v>1</v>
      </c>
      <c r="D3" s="1" t="s">
        <v>121</v>
      </c>
    </row>
    <row r="4" spans="1:15" ht="24" x14ac:dyDescent="0.25">
      <c r="A4" s="2">
        <v>1</v>
      </c>
      <c r="B4" s="2" t="s">
        <v>379</v>
      </c>
      <c r="C4" s="2" t="s">
        <v>26</v>
      </c>
      <c r="D4" s="2"/>
    </row>
    <row r="5" spans="1:15" ht="24" x14ac:dyDescent="0.25">
      <c r="A5" s="5">
        <v>2</v>
      </c>
      <c r="B5" s="5" t="s">
        <v>380</v>
      </c>
      <c r="C5" s="5" t="s">
        <v>5</v>
      </c>
      <c r="D5" s="5"/>
    </row>
    <row r="6" spans="1:15" ht="24" x14ac:dyDescent="0.25">
      <c r="A6" s="2">
        <v>3</v>
      </c>
      <c r="B6" s="2" t="s">
        <v>381</v>
      </c>
      <c r="C6" s="2" t="s">
        <v>122</v>
      </c>
      <c r="D6" s="2"/>
    </row>
  </sheetData>
  <mergeCells count="2">
    <mergeCell ref="A1:O1"/>
    <mergeCell ref="A2:D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264F3-1D0C-4B1D-ABBF-782D7EE0D86A}">
  <dimension ref="A1:O6"/>
  <sheetViews>
    <sheetView workbookViewId="0">
      <selection activeCell="A2" sqref="A2:D2"/>
    </sheetView>
  </sheetViews>
  <sheetFormatPr defaultRowHeight="15" x14ac:dyDescent="0.25"/>
  <sheetData>
    <row r="1" spans="1:15" x14ac:dyDescent="0.25">
      <c r="A1" s="46" t="s">
        <v>385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x14ac:dyDescent="0.25">
      <c r="A2" s="45" t="s">
        <v>123</v>
      </c>
      <c r="B2" s="45"/>
      <c r="C2" s="45"/>
      <c r="D2" s="45"/>
    </row>
    <row r="3" spans="1:15" x14ac:dyDescent="0.25">
      <c r="A3" s="1" t="s">
        <v>0</v>
      </c>
      <c r="B3" s="1" t="s">
        <v>124</v>
      </c>
      <c r="C3" s="1" t="s">
        <v>125</v>
      </c>
      <c r="D3" s="1" t="s">
        <v>126</v>
      </c>
    </row>
    <row r="4" spans="1:15" x14ac:dyDescent="0.25">
      <c r="A4" s="2">
        <v>1</v>
      </c>
      <c r="B4" s="2" t="s">
        <v>127</v>
      </c>
      <c r="C4" s="2" t="s">
        <v>128</v>
      </c>
      <c r="D4" s="2" t="s">
        <v>129</v>
      </c>
    </row>
    <row r="5" spans="1:15" x14ac:dyDescent="0.25">
      <c r="A5" s="5">
        <v>2</v>
      </c>
      <c r="B5" s="5" t="s">
        <v>130</v>
      </c>
      <c r="C5" s="5" t="s">
        <v>129</v>
      </c>
      <c r="D5" s="5" t="s">
        <v>131</v>
      </c>
    </row>
    <row r="6" spans="1:15" x14ac:dyDescent="0.25">
      <c r="A6" s="2">
        <v>3</v>
      </c>
      <c r="B6" s="2" t="s">
        <v>132</v>
      </c>
      <c r="C6" s="2" t="s">
        <v>131</v>
      </c>
      <c r="D6" s="2" t="s">
        <v>128</v>
      </c>
    </row>
  </sheetData>
  <mergeCells count="2">
    <mergeCell ref="A1:O1"/>
    <mergeCell ref="A2:D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5A40C-5623-4337-982B-EFFD477E3203}">
  <dimension ref="A1:O58"/>
  <sheetViews>
    <sheetView workbookViewId="0">
      <selection activeCell="I9" sqref="I9"/>
    </sheetView>
  </sheetViews>
  <sheetFormatPr defaultRowHeight="15" x14ac:dyDescent="0.25"/>
  <cols>
    <col min="2" max="2" width="11.28515625" bestFit="1" customWidth="1"/>
    <col min="3" max="4" width="18.85546875" bestFit="1" customWidth="1"/>
  </cols>
  <sheetData>
    <row r="1" spans="1:15" x14ac:dyDescent="0.25">
      <c r="A1" s="46" t="s">
        <v>385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x14ac:dyDescent="0.25">
      <c r="A2" s="48" t="s">
        <v>384</v>
      </c>
      <c r="B2" s="48"/>
      <c r="C2" s="48"/>
      <c r="D2" s="48"/>
      <c r="E2" s="48"/>
    </row>
    <row r="3" spans="1:15" ht="24" x14ac:dyDescent="0.25">
      <c r="A3" s="9" t="s">
        <v>0</v>
      </c>
      <c r="B3" s="9" t="s">
        <v>133</v>
      </c>
      <c r="C3" s="9" t="s">
        <v>134</v>
      </c>
      <c r="D3" s="9" t="s">
        <v>135</v>
      </c>
      <c r="E3" s="9" t="s">
        <v>136</v>
      </c>
    </row>
    <row r="4" spans="1:15" ht="36" x14ac:dyDescent="0.25">
      <c r="A4" s="2">
        <v>1</v>
      </c>
      <c r="B4" s="4" t="s">
        <v>137</v>
      </c>
      <c r="C4" s="10" t="s">
        <v>138</v>
      </c>
      <c r="D4" s="10" t="s">
        <v>138</v>
      </c>
      <c r="E4" s="2" t="s">
        <v>139</v>
      </c>
    </row>
    <row r="5" spans="1:15" ht="36" x14ac:dyDescent="0.25">
      <c r="A5" s="5">
        <v>2</v>
      </c>
      <c r="B5" s="7" t="s">
        <v>137</v>
      </c>
      <c r="C5" s="11" t="s">
        <v>140</v>
      </c>
      <c r="D5" s="11" t="s">
        <v>140</v>
      </c>
      <c r="E5" s="5" t="s">
        <v>141</v>
      </c>
    </row>
    <row r="6" spans="1:15" ht="24" x14ac:dyDescent="0.25">
      <c r="A6" s="2">
        <v>3</v>
      </c>
      <c r="B6" s="4" t="s">
        <v>137</v>
      </c>
      <c r="C6" s="10" t="s">
        <v>142</v>
      </c>
      <c r="D6" s="10" t="s">
        <v>142</v>
      </c>
      <c r="E6" s="2" t="s">
        <v>143</v>
      </c>
    </row>
    <row r="7" spans="1:15" ht="36" x14ac:dyDescent="0.25">
      <c r="A7" s="5">
        <v>4</v>
      </c>
      <c r="B7" s="7" t="s">
        <v>137</v>
      </c>
      <c r="C7" s="11" t="s">
        <v>144</v>
      </c>
      <c r="D7" s="11" t="s">
        <v>144</v>
      </c>
      <c r="E7" s="5" t="s">
        <v>145</v>
      </c>
    </row>
    <row r="8" spans="1:15" ht="36" x14ac:dyDescent="0.25">
      <c r="A8" s="2">
        <v>5</v>
      </c>
      <c r="B8" s="4" t="s">
        <v>137</v>
      </c>
      <c r="C8" s="10" t="s">
        <v>146</v>
      </c>
      <c r="D8" s="10" t="s">
        <v>146</v>
      </c>
      <c r="E8" s="2" t="s">
        <v>147</v>
      </c>
    </row>
    <row r="9" spans="1:15" ht="36" x14ac:dyDescent="0.25">
      <c r="A9" s="5">
        <v>6</v>
      </c>
      <c r="B9" s="7" t="s">
        <v>148</v>
      </c>
      <c r="C9" s="11" t="s">
        <v>149</v>
      </c>
      <c r="D9" s="11" t="s">
        <v>149</v>
      </c>
      <c r="E9" s="5" t="s">
        <v>150</v>
      </c>
    </row>
    <row r="10" spans="1:15" ht="36" x14ac:dyDescent="0.25">
      <c r="A10" s="2">
        <v>7</v>
      </c>
      <c r="B10" s="4" t="s">
        <v>148</v>
      </c>
      <c r="C10" s="10" t="s">
        <v>151</v>
      </c>
      <c r="D10" s="10" t="s">
        <v>151</v>
      </c>
      <c r="E10" s="2" t="s">
        <v>152</v>
      </c>
    </row>
    <row r="11" spans="1:15" ht="36" x14ac:dyDescent="0.25">
      <c r="A11" s="5">
        <v>8</v>
      </c>
      <c r="B11" s="7" t="s">
        <v>148</v>
      </c>
      <c r="C11" s="11" t="s">
        <v>153</v>
      </c>
      <c r="D11" s="11" t="s">
        <v>153</v>
      </c>
      <c r="E11" s="5" t="s">
        <v>154</v>
      </c>
    </row>
    <row r="12" spans="1:15" ht="36" x14ac:dyDescent="0.25">
      <c r="A12" s="2">
        <v>9</v>
      </c>
      <c r="B12" s="4" t="s">
        <v>148</v>
      </c>
      <c r="C12" s="10" t="s">
        <v>155</v>
      </c>
      <c r="D12" s="10" t="s">
        <v>155</v>
      </c>
      <c r="E12" s="2" t="s">
        <v>156</v>
      </c>
    </row>
    <row r="13" spans="1:15" x14ac:dyDescent="0.25">
      <c r="A13" s="5">
        <v>10</v>
      </c>
      <c r="B13" s="7" t="s">
        <v>157</v>
      </c>
      <c r="C13" s="11" t="s">
        <v>42</v>
      </c>
      <c r="D13" s="11" t="s">
        <v>42</v>
      </c>
      <c r="E13" s="5" t="s">
        <v>158</v>
      </c>
    </row>
    <row r="14" spans="1:15" ht="36" x14ac:dyDescent="0.25">
      <c r="A14" s="2">
        <v>11</v>
      </c>
      <c r="B14" s="4" t="s">
        <v>157</v>
      </c>
      <c r="C14" s="10" t="s">
        <v>159</v>
      </c>
      <c r="D14" s="10" t="s">
        <v>159</v>
      </c>
      <c r="E14" s="2" t="s">
        <v>160</v>
      </c>
    </row>
    <row r="15" spans="1:15" ht="48" x14ac:dyDescent="0.25">
      <c r="A15" s="5">
        <v>12</v>
      </c>
      <c r="B15" s="7" t="s">
        <v>157</v>
      </c>
      <c r="C15" s="11" t="s">
        <v>161</v>
      </c>
      <c r="D15" s="11" t="s">
        <v>161</v>
      </c>
      <c r="E15" s="5" t="s">
        <v>162</v>
      </c>
    </row>
    <row r="16" spans="1:15" ht="48" x14ac:dyDescent="0.25">
      <c r="A16" s="2">
        <v>13</v>
      </c>
      <c r="B16" s="4" t="s">
        <v>157</v>
      </c>
      <c r="C16" s="10" t="s">
        <v>163</v>
      </c>
      <c r="D16" s="10" t="s">
        <v>163</v>
      </c>
      <c r="E16" s="2" t="s">
        <v>162</v>
      </c>
    </row>
    <row r="17" spans="1:5" ht="48" x14ac:dyDescent="0.25">
      <c r="A17" s="5">
        <v>14</v>
      </c>
      <c r="B17" s="7" t="s">
        <v>157</v>
      </c>
      <c r="C17" s="11" t="s">
        <v>164</v>
      </c>
      <c r="D17" s="11" t="s">
        <v>164</v>
      </c>
      <c r="E17" s="5" t="s">
        <v>162</v>
      </c>
    </row>
    <row r="18" spans="1:5" ht="24" x14ac:dyDescent="0.25">
      <c r="A18" s="2">
        <v>15</v>
      </c>
      <c r="B18" s="4" t="s">
        <v>157</v>
      </c>
      <c r="C18" s="10" t="s">
        <v>165</v>
      </c>
      <c r="D18" s="10" t="s">
        <v>165</v>
      </c>
      <c r="E18" s="2" t="s">
        <v>166</v>
      </c>
    </row>
    <row r="19" spans="1:5" ht="36" x14ac:dyDescent="0.25">
      <c r="A19" s="5">
        <v>16</v>
      </c>
      <c r="B19" s="7" t="s">
        <v>157</v>
      </c>
      <c r="C19" s="11" t="s">
        <v>167</v>
      </c>
      <c r="D19" s="11" t="s">
        <v>167</v>
      </c>
      <c r="E19" s="5" t="s">
        <v>168</v>
      </c>
    </row>
    <row r="20" spans="1:5" ht="36" x14ac:dyDescent="0.25">
      <c r="A20" s="2">
        <v>17</v>
      </c>
      <c r="B20" s="4" t="s">
        <v>157</v>
      </c>
      <c r="C20" s="10" t="s">
        <v>169</v>
      </c>
      <c r="D20" s="10" t="s">
        <v>169</v>
      </c>
      <c r="E20" s="2" t="s">
        <v>170</v>
      </c>
    </row>
    <row r="21" spans="1:5" ht="36" x14ac:dyDescent="0.25">
      <c r="A21" s="5">
        <v>18</v>
      </c>
      <c r="B21" s="7" t="s">
        <v>157</v>
      </c>
      <c r="C21" s="11" t="s">
        <v>171</v>
      </c>
      <c r="D21" s="11" t="s">
        <v>171</v>
      </c>
      <c r="E21" s="5" t="s">
        <v>172</v>
      </c>
    </row>
    <row r="22" spans="1:5" ht="24" x14ac:dyDescent="0.25">
      <c r="A22" s="2">
        <v>19</v>
      </c>
      <c r="B22" s="4" t="s">
        <v>173</v>
      </c>
      <c r="C22" s="10" t="s">
        <v>174</v>
      </c>
      <c r="D22" s="10" t="s">
        <v>174</v>
      </c>
      <c r="E22" s="2" t="s">
        <v>175</v>
      </c>
    </row>
    <row r="23" spans="1:5" ht="36" x14ac:dyDescent="0.25">
      <c r="A23" s="5">
        <v>20</v>
      </c>
      <c r="B23" s="7" t="s">
        <v>173</v>
      </c>
      <c r="C23" s="11" t="s">
        <v>176</v>
      </c>
      <c r="D23" s="11" t="s">
        <v>176</v>
      </c>
      <c r="E23" s="5" t="s">
        <v>177</v>
      </c>
    </row>
    <row r="24" spans="1:5" ht="36" x14ac:dyDescent="0.25">
      <c r="A24" s="2">
        <v>21</v>
      </c>
      <c r="B24" s="4" t="s">
        <v>173</v>
      </c>
      <c r="C24" s="10" t="s">
        <v>178</v>
      </c>
      <c r="D24" s="10" t="s">
        <v>178</v>
      </c>
      <c r="E24" s="2" t="s">
        <v>179</v>
      </c>
    </row>
    <row r="25" spans="1:5" ht="24" x14ac:dyDescent="0.25">
      <c r="A25" s="5">
        <v>22</v>
      </c>
      <c r="B25" s="7" t="s">
        <v>180</v>
      </c>
      <c r="C25" s="11" t="s">
        <v>181</v>
      </c>
      <c r="D25" s="11" t="s">
        <v>181</v>
      </c>
      <c r="E25" s="5" t="s">
        <v>182</v>
      </c>
    </row>
    <row r="26" spans="1:5" ht="36" x14ac:dyDescent="0.25">
      <c r="A26" s="2">
        <v>23</v>
      </c>
      <c r="B26" s="4" t="s">
        <v>180</v>
      </c>
      <c r="C26" s="10" t="s">
        <v>183</v>
      </c>
      <c r="D26" s="10" t="s">
        <v>183</v>
      </c>
      <c r="E26" s="2" t="s">
        <v>184</v>
      </c>
    </row>
    <row r="27" spans="1:5" x14ac:dyDescent="0.25">
      <c r="A27" s="2">
        <v>24</v>
      </c>
      <c r="B27" s="7" t="s">
        <v>180</v>
      </c>
      <c r="C27" s="11" t="s">
        <v>185</v>
      </c>
      <c r="D27" s="11" t="s">
        <v>185</v>
      </c>
    </row>
    <row r="28" spans="1:5" x14ac:dyDescent="0.25">
      <c r="A28" s="2">
        <v>25</v>
      </c>
      <c r="B28" s="4" t="s">
        <v>180</v>
      </c>
      <c r="C28" s="10" t="s">
        <v>163</v>
      </c>
      <c r="D28" s="10" t="s">
        <v>163</v>
      </c>
    </row>
    <row r="29" spans="1:5" x14ac:dyDescent="0.25">
      <c r="A29" s="2">
        <v>26</v>
      </c>
      <c r="B29" s="7" t="s">
        <v>180</v>
      </c>
      <c r="C29" s="11" t="s">
        <v>186</v>
      </c>
      <c r="D29" s="11" t="s">
        <v>186</v>
      </c>
    </row>
    <row r="30" spans="1:5" x14ac:dyDescent="0.25">
      <c r="A30" s="2">
        <v>27</v>
      </c>
      <c r="B30" s="4" t="s">
        <v>180</v>
      </c>
      <c r="C30" s="10" t="s">
        <v>187</v>
      </c>
      <c r="D30" s="10" t="s">
        <v>187</v>
      </c>
    </row>
    <row r="31" spans="1:5" x14ac:dyDescent="0.25">
      <c r="A31" s="2">
        <v>28</v>
      </c>
      <c r="B31" s="7" t="s">
        <v>180</v>
      </c>
      <c r="C31" s="11" t="s">
        <v>188</v>
      </c>
      <c r="D31" s="11" t="s">
        <v>188</v>
      </c>
    </row>
    <row r="32" spans="1:5" x14ac:dyDescent="0.25">
      <c r="A32" s="2">
        <v>29</v>
      </c>
      <c r="B32" s="4" t="s">
        <v>189</v>
      </c>
      <c r="C32" s="10" t="s">
        <v>190</v>
      </c>
      <c r="D32" s="10" t="s">
        <v>190</v>
      </c>
    </row>
    <row r="33" spans="1:4" x14ac:dyDescent="0.25">
      <c r="A33" s="2">
        <v>30</v>
      </c>
      <c r="B33" s="7" t="s">
        <v>189</v>
      </c>
      <c r="C33" s="11" t="s">
        <v>191</v>
      </c>
      <c r="D33" s="11" t="s">
        <v>191</v>
      </c>
    </row>
    <row r="34" spans="1:4" x14ac:dyDescent="0.25">
      <c r="A34" s="2">
        <v>31</v>
      </c>
      <c r="B34" s="4" t="s">
        <v>189</v>
      </c>
      <c r="C34" s="10" t="s">
        <v>192</v>
      </c>
      <c r="D34" s="10" t="s">
        <v>192</v>
      </c>
    </row>
    <row r="35" spans="1:4" x14ac:dyDescent="0.25">
      <c r="A35" s="2">
        <v>32</v>
      </c>
      <c r="B35" s="7" t="s">
        <v>189</v>
      </c>
      <c r="C35" s="11" t="s">
        <v>193</v>
      </c>
      <c r="D35" s="11" t="s">
        <v>193</v>
      </c>
    </row>
    <row r="36" spans="1:4" x14ac:dyDescent="0.25">
      <c r="A36" s="2">
        <v>33</v>
      </c>
      <c r="B36" s="4" t="s">
        <v>189</v>
      </c>
      <c r="C36" s="10" t="s">
        <v>194</v>
      </c>
      <c r="D36" s="10" t="s">
        <v>194</v>
      </c>
    </row>
    <row r="37" spans="1:4" x14ac:dyDescent="0.25">
      <c r="A37" s="2">
        <v>34</v>
      </c>
      <c r="B37" s="7" t="s">
        <v>195</v>
      </c>
      <c r="C37" s="11" t="s">
        <v>196</v>
      </c>
      <c r="D37" s="11" t="s">
        <v>196</v>
      </c>
    </row>
    <row r="38" spans="1:4" x14ac:dyDescent="0.25">
      <c r="A38" s="2">
        <v>35</v>
      </c>
      <c r="B38" s="4" t="s">
        <v>195</v>
      </c>
      <c r="C38" s="10" t="s">
        <v>197</v>
      </c>
      <c r="D38" s="10" t="s">
        <v>197</v>
      </c>
    </row>
    <row r="39" spans="1:4" x14ac:dyDescent="0.25">
      <c r="A39" s="2">
        <v>36</v>
      </c>
      <c r="B39" s="7" t="s">
        <v>195</v>
      </c>
      <c r="C39" s="11" t="s">
        <v>198</v>
      </c>
      <c r="D39" s="11" t="s">
        <v>198</v>
      </c>
    </row>
    <row r="40" spans="1:4" x14ac:dyDescent="0.25">
      <c r="A40" s="2">
        <v>37</v>
      </c>
      <c r="B40" s="4" t="s">
        <v>195</v>
      </c>
      <c r="C40" s="10" t="s">
        <v>199</v>
      </c>
      <c r="D40" s="10" t="s">
        <v>199</v>
      </c>
    </row>
    <row r="41" spans="1:4" x14ac:dyDescent="0.25">
      <c r="A41" s="2">
        <v>38</v>
      </c>
      <c r="B41" s="7" t="s">
        <v>195</v>
      </c>
      <c r="C41" s="11" t="s">
        <v>200</v>
      </c>
      <c r="D41" s="11" t="s">
        <v>200</v>
      </c>
    </row>
    <row r="42" spans="1:4" x14ac:dyDescent="0.25">
      <c r="A42" s="2">
        <v>39</v>
      </c>
      <c r="B42" s="4" t="s">
        <v>195</v>
      </c>
      <c r="C42" s="10" t="s">
        <v>201</v>
      </c>
      <c r="D42" s="10" t="s">
        <v>201</v>
      </c>
    </row>
    <row r="43" spans="1:4" x14ac:dyDescent="0.25">
      <c r="A43" s="2">
        <v>40</v>
      </c>
      <c r="B43" s="7" t="s">
        <v>195</v>
      </c>
      <c r="C43" s="11" t="s">
        <v>202</v>
      </c>
      <c r="D43" s="11" t="s">
        <v>202</v>
      </c>
    </row>
    <row r="44" spans="1:4" x14ac:dyDescent="0.25">
      <c r="A44" s="2">
        <v>41</v>
      </c>
      <c r="B44" s="4" t="s">
        <v>203</v>
      </c>
      <c r="C44" s="10" t="s">
        <v>204</v>
      </c>
      <c r="D44" s="10" t="s">
        <v>204</v>
      </c>
    </row>
    <row r="45" spans="1:4" x14ac:dyDescent="0.25">
      <c r="A45" s="2">
        <v>42</v>
      </c>
      <c r="B45" s="7" t="s">
        <v>203</v>
      </c>
      <c r="C45" s="11" t="s">
        <v>199</v>
      </c>
      <c r="D45" s="11" t="s">
        <v>199</v>
      </c>
    </row>
    <row r="46" spans="1:4" x14ac:dyDescent="0.25">
      <c r="A46" s="2">
        <v>43</v>
      </c>
      <c r="B46" s="4" t="s">
        <v>203</v>
      </c>
      <c r="C46" s="10" t="s">
        <v>200</v>
      </c>
      <c r="D46" s="10" t="s">
        <v>200</v>
      </c>
    </row>
    <row r="47" spans="1:4" x14ac:dyDescent="0.25">
      <c r="A47" s="2">
        <v>44</v>
      </c>
      <c r="B47" s="7" t="s">
        <v>203</v>
      </c>
      <c r="C47" s="11" t="s">
        <v>201</v>
      </c>
      <c r="D47" s="11" t="s">
        <v>201</v>
      </c>
    </row>
    <row r="48" spans="1:4" x14ac:dyDescent="0.25">
      <c r="A48" s="2">
        <v>45</v>
      </c>
      <c r="B48" s="4" t="s">
        <v>203</v>
      </c>
      <c r="C48" s="10" t="s">
        <v>202</v>
      </c>
      <c r="D48" s="10" t="s">
        <v>202</v>
      </c>
    </row>
    <row r="49" spans="1:4" x14ac:dyDescent="0.25">
      <c r="A49" s="2">
        <v>46</v>
      </c>
      <c r="B49" s="7" t="s">
        <v>205</v>
      </c>
      <c r="C49" s="11" t="s">
        <v>206</v>
      </c>
      <c r="D49" s="11" t="s">
        <v>206</v>
      </c>
    </row>
    <row r="50" spans="1:4" x14ac:dyDescent="0.25">
      <c r="A50" s="2">
        <v>47</v>
      </c>
      <c r="B50" s="4" t="s">
        <v>205</v>
      </c>
      <c r="C50" s="10" t="s">
        <v>207</v>
      </c>
      <c r="D50" s="10" t="s">
        <v>207</v>
      </c>
    </row>
    <row r="51" spans="1:4" x14ac:dyDescent="0.25">
      <c r="A51" s="2">
        <v>48</v>
      </c>
      <c r="B51" s="7" t="s">
        <v>205</v>
      </c>
      <c r="C51" s="11" t="s">
        <v>208</v>
      </c>
      <c r="D51" s="11" t="s">
        <v>208</v>
      </c>
    </row>
    <row r="52" spans="1:4" x14ac:dyDescent="0.25">
      <c r="A52" s="2">
        <v>49</v>
      </c>
      <c r="B52" s="4" t="s">
        <v>205</v>
      </c>
      <c r="C52" s="10" t="s">
        <v>196</v>
      </c>
      <c r="D52" s="10" t="s">
        <v>196</v>
      </c>
    </row>
    <row r="53" spans="1:4" x14ac:dyDescent="0.25">
      <c r="A53" s="2">
        <v>50</v>
      </c>
      <c r="B53" s="7" t="s">
        <v>205</v>
      </c>
      <c r="C53" s="11" t="s">
        <v>209</v>
      </c>
      <c r="D53" s="11" t="s">
        <v>209</v>
      </c>
    </row>
    <row r="54" spans="1:4" x14ac:dyDescent="0.25">
      <c r="A54" s="2">
        <v>51</v>
      </c>
      <c r="B54" s="4" t="s">
        <v>210</v>
      </c>
      <c r="C54" s="10" t="s">
        <v>211</v>
      </c>
      <c r="D54" s="10" t="s">
        <v>211</v>
      </c>
    </row>
    <row r="55" spans="1:4" x14ac:dyDescent="0.25">
      <c r="A55" s="2">
        <v>52</v>
      </c>
      <c r="B55" s="7" t="s">
        <v>210</v>
      </c>
      <c r="C55" s="11" t="s">
        <v>196</v>
      </c>
      <c r="D55" s="11" t="s">
        <v>196</v>
      </c>
    </row>
    <row r="56" spans="1:4" x14ac:dyDescent="0.25">
      <c r="A56" s="2">
        <v>53</v>
      </c>
      <c r="B56" s="4" t="s">
        <v>210</v>
      </c>
      <c r="C56" s="10" t="s">
        <v>212</v>
      </c>
      <c r="D56" s="10" t="s">
        <v>212</v>
      </c>
    </row>
    <row r="57" spans="1:4" x14ac:dyDescent="0.25">
      <c r="A57" s="2">
        <v>54</v>
      </c>
      <c r="B57" s="7" t="s">
        <v>210</v>
      </c>
      <c r="C57" s="11" t="s">
        <v>213</v>
      </c>
      <c r="D57" s="11" t="s">
        <v>213</v>
      </c>
    </row>
    <row r="58" spans="1:4" x14ac:dyDescent="0.25">
      <c r="A58" s="2">
        <v>55</v>
      </c>
      <c r="B58" s="4"/>
      <c r="C58" s="10" t="s">
        <v>214</v>
      </c>
      <c r="D58" s="10" t="s">
        <v>214</v>
      </c>
    </row>
  </sheetData>
  <mergeCells count="2">
    <mergeCell ref="A2:E2"/>
    <mergeCell ref="A1:O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7960C-4FE0-4D2E-966A-577F6FF1E1BA}">
  <dimension ref="A1:O120"/>
  <sheetViews>
    <sheetView workbookViewId="0">
      <selection activeCell="H10" sqref="H10"/>
    </sheetView>
  </sheetViews>
  <sheetFormatPr defaultRowHeight="15" x14ac:dyDescent="0.25"/>
  <cols>
    <col min="2" max="2" width="35.7109375" bestFit="1" customWidth="1"/>
    <col min="3" max="3" width="19" bestFit="1" customWidth="1"/>
    <col min="4" max="4" width="55.85546875" bestFit="1" customWidth="1"/>
    <col min="5" max="5" width="5" bestFit="1" customWidth="1"/>
  </cols>
  <sheetData>
    <row r="1" spans="1:15" x14ac:dyDescent="0.25">
      <c r="A1" s="46" t="s">
        <v>385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x14ac:dyDescent="0.25">
      <c r="A2" s="48" t="s">
        <v>383</v>
      </c>
      <c r="B2" s="49"/>
      <c r="C2" s="49"/>
      <c r="D2" s="49"/>
      <c r="E2" s="49"/>
    </row>
    <row r="3" spans="1:15" x14ac:dyDescent="0.25">
      <c r="A3" s="9" t="s">
        <v>0</v>
      </c>
      <c r="B3" s="9" t="s">
        <v>133</v>
      </c>
      <c r="C3" s="9" t="s">
        <v>134</v>
      </c>
      <c r="D3" s="9" t="s">
        <v>135</v>
      </c>
      <c r="E3" s="9" t="s">
        <v>136</v>
      </c>
    </row>
    <row r="4" spans="1:15" x14ac:dyDescent="0.25">
      <c r="A4" t="s">
        <v>769</v>
      </c>
      <c r="B4" t="s">
        <v>215</v>
      </c>
      <c r="C4" t="s">
        <v>216</v>
      </c>
      <c r="D4" t="s">
        <v>217</v>
      </c>
    </row>
    <row r="5" spans="1:15" x14ac:dyDescent="0.25">
      <c r="A5" t="s">
        <v>769</v>
      </c>
      <c r="B5" t="s">
        <v>215</v>
      </c>
      <c r="C5" t="s">
        <v>216</v>
      </c>
      <c r="D5" t="s">
        <v>218</v>
      </c>
    </row>
    <row r="6" spans="1:15" x14ac:dyDescent="0.25">
      <c r="A6" t="s">
        <v>769</v>
      </c>
      <c r="B6" t="s">
        <v>215</v>
      </c>
      <c r="C6" t="s">
        <v>216</v>
      </c>
      <c r="D6" t="s">
        <v>219</v>
      </c>
    </row>
    <row r="7" spans="1:15" x14ac:dyDescent="0.25">
      <c r="A7" t="s">
        <v>769</v>
      </c>
      <c r="B7" t="s">
        <v>215</v>
      </c>
      <c r="C7" t="s">
        <v>216</v>
      </c>
      <c r="D7" t="s">
        <v>220</v>
      </c>
    </row>
    <row r="8" spans="1:15" x14ac:dyDescent="0.25">
      <c r="A8" t="s">
        <v>769</v>
      </c>
      <c r="B8" t="s">
        <v>215</v>
      </c>
      <c r="C8" t="s">
        <v>216</v>
      </c>
      <c r="D8" t="s">
        <v>221</v>
      </c>
    </row>
    <row r="9" spans="1:15" x14ac:dyDescent="0.25">
      <c r="A9" t="s">
        <v>769</v>
      </c>
      <c r="B9" t="s">
        <v>215</v>
      </c>
      <c r="C9" t="s">
        <v>222</v>
      </c>
      <c r="D9" t="s">
        <v>223</v>
      </c>
    </row>
    <row r="10" spans="1:15" x14ac:dyDescent="0.25">
      <c r="A10" t="s">
        <v>769</v>
      </c>
      <c r="B10" t="s">
        <v>215</v>
      </c>
      <c r="C10" t="s">
        <v>222</v>
      </c>
      <c r="D10" t="s">
        <v>224</v>
      </c>
    </row>
    <row r="11" spans="1:15" x14ac:dyDescent="0.25">
      <c r="A11" t="s">
        <v>769</v>
      </c>
      <c r="B11" t="s">
        <v>215</v>
      </c>
      <c r="C11" t="s">
        <v>222</v>
      </c>
      <c r="D11" t="s">
        <v>225</v>
      </c>
    </row>
    <row r="12" spans="1:15" x14ac:dyDescent="0.25">
      <c r="A12" t="s">
        <v>769</v>
      </c>
      <c r="B12" t="s">
        <v>215</v>
      </c>
      <c r="C12" t="s">
        <v>222</v>
      </c>
      <c r="D12" t="s">
        <v>226</v>
      </c>
    </row>
    <row r="13" spans="1:15" x14ac:dyDescent="0.25">
      <c r="A13" t="s">
        <v>769</v>
      </c>
      <c r="B13" t="s">
        <v>215</v>
      </c>
      <c r="C13" t="s">
        <v>222</v>
      </c>
      <c r="D13" t="s">
        <v>227</v>
      </c>
    </row>
    <row r="14" spans="1:15" x14ac:dyDescent="0.25">
      <c r="A14" t="s">
        <v>769</v>
      </c>
      <c r="B14" t="s">
        <v>215</v>
      </c>
      <c r="C14" t="s">
        <v>228</v>
      </c>
      <c r="D14" t="s">
        <v>229</v>
      </c>
    </row>
    <row r="15" spans="1:15" x14ac:dyDescent="0.25">
      <c r="A15" t="s">
        <v>769</v>
      </c>
      <c r="B15" t="s">
        <v>215</v>
      </c>
      <c r="C15" t="s">
        <v>228</v>
      </c>
      <c r="D15" t="s">
        <v>230</v>
      </c>
    </row>
    <row r="16" spans="1:15" x14ac:dyDescent="0.25">
      <c r="A16" t="s">
        <v>769</v>
      </c>
      <c r="B16" t="s">
        <v>215</v>
      </c>
      <c r="C16" t="s">
        <v>228</v>
      </c>
      <c r="D16" t="s">
        <v>231</v>
      </c>
    </row>
    <row r="17" spans="1:4" x14ac:dyDescent="0.25">
      <c r="A17" t="s">
        <v>769</v>
      </c>
      <c r="B17" t="s">
        <v>215</v>
      </c>
      <c r="C17" t="s">
        <v>232</v>
      </c>
      <c r="D17" t="s">
        <v>229</v>
      </c>
    </row>
    <row r="18" spans="1:4" x14ac:dyDescent="0.25">
      <c r="A18" t="s">
        <v>769</v>
      </c>
      <c r="B18" t="s">
        <v>215</v>
      </c>
      <c r="C18" t="s">
        <v>232</v>
      </c>
      <c r="D18" t="s">
        <v>230</v>
      </c>
    </row>
    <row r="19" spans="1:4" x14ac:dyDescent="0.25">
      <c r="A19" t="s">
        <v>769</v>
      </c>
      <c r="B19" t="s">
        <v>215</v>
      </c>
      <c r="C19" t="s">
        <v>232</v>
      </c>
      <c r="D19" t="s">
        <v>231</v>
      </c>
    </row>
    <row r="20" spans="1:4" x14ac:dyDescent="0.25">
      <c r="A20" t="s">
        <v>769</v>
      </c>
      <c r="B20" t="s">
        <v>215</v>
      </c>
      <c r="C20" t="s">
        <v>233</v>
      </c>
      <c r="D20" t="s">
        <v>234</v>
      </c>
    </row>
    <row r="21" spans="1:4" x14ac:dyDescent="0.25">
      <c r="A21" t="s">
        <v>769</v>
      </c>
      <c r="B21" t="s">
        <v>215</v>
      </c>
      <c r="C21" t="s">
        <v>233</v>
      </c>
      <c r="D21" t="s">
        <v>235</v>
      </c>
    </row>
    <row r="22" spans="1:4" x14ac:dyDescent="0.25">
      <c r="A22" t="s">
        <v>769</v>
      </c>
      <c r="B22" t="s">
        <v>215</v>
      </c>
      <c r="C22" t="s">
        <v>233</v>
      </c>
      <c r="D22" t="s">
        <v>236</v>
      </c>
    </row>
    <row r="23" spans="1:4" x14ac:dyDescent="0.25">
      <c r="A23" t="s">
        <v>769</v>
      </c>
      <c r="B23" t="s">
        <v>215</v>
      </c>
      <c r="C23" t="s">
        <v>233</v>
      </c>
      <c r="D23" t="s">
        <v>237</v>
      </c>
    </row>
    <row r="24" spans="1:4" x14ac:dyDescent="0.25">
      <c r="A24" t="s">
        <v>769</v>
      </c>
      <c r="B24" t="s">
        <v>215</v>
      </c>
      <c r="C24" t="s">
        <v>238</v>
      </c>
      <c r="D24" t="s">
        <v>234</v>
      </c>
    </row>
    <row r="25" spans="1:4" x14ac:dyDescent="0.25">
      <c r="A25" t="s">
        <v>769</v>
      </c>
      <c r="B25" t="s">
        <v>215</v>
      </c>
      <c r="C25" t="s">
        <v>238</v>
      </c>
      <c r="D25" t="s">
        <v>235</v>
      </c>
    </row>
    <row r="26" spans="1:4" x14ac:dyDescent="0.25">
      <c r="A26" t="s">
        <v>769</v>
      </c>
      <c r="B26" t="s">
        <v>215</v>
      </c>
      <c r="C26" t="s">
        <v>238</v>
      </c>
      <c r="D26" t="s">
        <v>236</v>
      </c>
    </row>
    <row r="27" spans="1:4" x14ac:dyDescent="0.25">
      <c r="A27" t="s">
        <v>769</v>
      </c>
      <c r="B27" t="s">
        <v>215</v>
      </c>
      <c r="C27" t="s">
        <v>238</v>
      </c>
      <c r="D27" t="s">
        <v>237</v>
      </c>
    </row>
    <row r="28" spans="1:4" x14ac:dyDescent="0.25">
      <c r="A28" t="s">
        <v>769</v>
      </c>
      <c r="B28" t="s">
        <v>215</v>
      </c>
      <c r="C28" t="s">
        <v>239</v>
      </c>
      <c r="D28" t="s">
        <v>234</v>
      </c>
    </row>
    <row r="29" spans="1:4" x14ac:dyDescent="0.25">
      <c r="A29" t="s">
        <v>769</v>
      </c>
      <c r="B29" t="s">
        <v>215</v>
      </c>
      <c r="C29" t="s">
        <v>239</v>
      </c>
      <c r="D29" t="s">
        <v>235</v>
      </c>
    </row>
    <row r="30" spans="1:4" x14ac:dyDescent="0.25">
      <c r="A30" t="s">
        <v>769</v>
      </c>
      <c r="B30" t="s">
        <v>215</v>
      </c>
      <c r="C30" t="s">
        <v>239</v>
      </c>
      <c r="D30" t="s">
        <v>236</v>
      </c>
    </row>
    <row r="31" spans="1:4" x14ac:dyDescent="0.25">
      <c r="A31" t="s">
        <v>769</v>
      </c>
      <c r="B31" t="s">
        <v>215</v>
      </c>
      <c r="C31" t="s">
        <v>239</v>
      </c>
      <c r="D31" t="s">
        <v>237</v>
      </c>
    </row>
    <row r="32" spans="1:4" x14ac:dyDescent="0.25">
      <c r="A32" t="s">
        <v>769</v>
      </c>
      <c r="B32" t="s">
        <v>215</v>
      </c>
      <c r="C32" t="s">
        <v>239</v>
      </c>
      <c r="D32" t="s">
        <v>240</v>
      </c>
    </row>
    <row r="33" spans="1:4" x14ac:dyDescent="0.25">
      <c r="A33" t="s">
        <v>769</v>
      </c>
      <c r="B33" t="s">
        <v>215</v>
      </c>
      <c r="C33" t="s">
        <v>241</v>
      </c>
      <c r="D33" t="s">
        <v>242</v>
      </c>
    </row>
    <row r="34" spans="1:4" x14ac:dyDescent="0.25">
      <c r="A34" t="s">
        <v>769</v>
      </c>
      <c r="B34" t="s">
        <v>215</v>
      </c>
      <c r="C34" t="s">
        <v>241</v>
      </c>
      <c r="D34" t="s">
        <v>235</v>
      </c>
    </row>
    <row r="35" spans="1:4" x14ac:dyDescent="0.25">
      <c r="A35" t="s">
        <v>769</v>
      </c>
      <c r="B35" t="s">
        <v>215</v>
      </c>
      <c r="C35" t="s">
        <v>241</v>
      </c>
      <c r="D35" t="s">
        <v>236</v>
      </c>
    </row>
    <row r="36" spans="1:4" x14ac:dyDescent="0.25">
      <c r="A36" t="s">
        <v>769</v>
      </c>
      <c r="B36" t="s">
        <v>215</v>
      </c>
      <c r="C36" t="s">
        <v>241</v>
      </c>
      <c r="D36" t="s">
        <v>237</v>
      </c>
    </row>
    <row r="37" spans="1:4" x14ac:dyDescent="0.25">
      <c r="A37" t="s">
        <v>769</v>
      </c>
      <c r="B37" t="s">
        <v>215</v>
      </c>
      <c r="C37" t="s">
        <v>241</v>
      </c>
      <c r="D37" t="s">
        <v>240</v>
      </c>
    </row>
    <row r="38" spans="1:4" x14ac:dyDescent="0.25">
      <c r="A38" t="s">
        <v>769</v>
      </c>
      <c r="B38" t="s">
        <v>215</v>
      </c>
      <c r="C38" t="s">
        <v>243</v>
      </c>
      <c r="D38" t="s">
        <v>244</v>
      </c>
    </row>
    <row r="39" spans="1:4" x14ac:dyDescent="0.25">
      <c r="A39" t="s">
        <v>769</v>
      </c>
      <c r="B39" t="s">
        <v>215</v>
      </c>
      <c r="C39" t="s">
        <v>243</v>
      </c>
      <c r="D39" t="s">
        <v>245</v>
      </c>
    </row>
    <row r="40" spans="1:4" x14ac:dyDescent="0.25">
      <c r="A40" t="s">
        <v>769</v>
      </c>
      <c r="B40" t="s">
        <v>215</v>
      </c>
      <c r="C40" t="s">
        <v>243</v>
      </c>
      <c r="D40" t="s">
        <v>246</v>
      </c>
    </row>
    <row r="41" spans="1:4" x14ac:dyDescent="0.25">
      <c r="A41" t="s">
        <v>769</v>
      </c>
      <c r="B41" t="s">
        <v>215</v>
      </c>
      <c r="C41" t="s">
        <v>247</v>
      </c>
      <c r="D41" t="s">
        <v>244</v>
      </c>
    </row>
    <row r="42" spans="1:4" x14ac:dyDescent="0.25">
      <c r="A42" t="s">
        <v>769</v>
      </c>
      <c r="B42" t="s">
        <v>215</v>
      </c>
      <c r="C42" t="s">
        <v>247</v>
      </c>
      <c r="D42" t="s">
        <v>245</v>
      </c>
    </row>
    <row r="43" spans="1:4" x14ac:dyDescent="0.25">
      <c r="A43" t="s">
        <v>769</v>
      </c>
      <c r="B43" t="s">
        <v>215</v>
      </c>
      <c r="C43" t="s">
        <v>247</v>
      </c>
      <c r="D43" t="s">
        <v>246</v>
      </c>
    </row>
    <row r="44" spans="1:4" x14ac:dyDescent="0.25">
      <c r="A44" t="s">
        <v>769</v>
      </c>
      <c r="B44" t="s">
        <v>215</v>
      </c>
      <c r="C44" t="s">
        <v>247</v>
      </c>
      <c r="D44" t="s">
        <v>248</v>
      </c>
    </row>
    <row r="45" spans="1:4" x14ac:dyDescent="0.25">
      <c r="A45" t="s">
        <v>769</v>
      </c>
      <c r="B45" t="s">
        <v>215</v>
      </c>
      <c r="C45" t="s">
        <v>249</v>
      </c>
      <c r="D45" t="s">
        <v>250</v>
      </c>
    </row>
    <row r="46" spans="1:4" x14ac:dyDescent="0.25">
      <c r="A46" t="s">
        <v>769</v>
      </c>
      <c r="B46" t="s">
        <v>215</v>
      </c>
      <c r="C46" t="s">
        <v>249</v>
      </c>
      <c r="D46" t="s">
        <v>251</v>
      </c>
    </row>
    <row r="47" spans="1:4" x14ac:dyDescent="0.25">
      <c r="A47" t="s">
        <v>769</v>
      </c>
      <c r="B47" t="s">
        <v>215</v>
      </c>
      <c r="C47" t="s">
        <v>249</v>
      </c>
      <c r="D47" t="s">
        <v>252</v>
      </c>
    </row>
    <row r="48" spans="1:4" x14ac:dyDescent="0.25">
      <c r="A48" t="s">
        <v>769</v>
      </c>
      <c r="B48" t="s">
        <v>215</v>
      </c>
      <c r="C48" t="s">
        <v>253</v>
      </c>
      <c r="D48" t="s">
        <v>254</v>
      </c>
    </row>
    <row r="49" spans="1:4" x14ac:dyDescent="0.25">
      <c r="A49" t="s">
        <v>769</v>
      </c>
      <c r="B49" t="s">
        <v>215</v>
      </c>
      <c r="C49" t="s">
        <v>253</v>
      </c>
      <c r="D49" t="s">
        <v>255</v>
      </c>
    </row>
    <row r="50" spans="1:4" x14ac:dyDescent="0.25">
      <c r="A50" t="s">
        <v>769</v>
      </c>
      <c r="B50" t="s">
        <v>215</v>
      </c>
      <c r="C50" t="s">
        <v>253</v>
      </c>
      <c r="D50" t="s">
        <v>256</v>
      </c>
    </row>
    <row r="51" spans="1:4" x14ac:dyDescent="0.25">
      <c r="A51" t="s">
        <v>769</v>
      </c>
      <c r="B51" t="s">
        <v>215</v>
      </c>
      <c r="C51" t="s">
        <v>253</v>
      </c>
      <c r="D51" t="s">
        <v>257</v>
      </c>
    </row>
    <row r="52" spans="1:4" x14ac:dyDescent="0.25">
      <c r="A52" t="s">
        <v>769</v>
      </c>
      <c r="B52" t="s">
        <v>215</v>
      </c>
      <c r="C52" t="s">
        <v>258</v>
      </c>
      <c r="D52" t="s">
        <v>259</v>
      </c>
    </row>
    <row r="53" spans="1:4" x14ac:dyDescent="0.25">
      <c r="A53" t="s">
        <v>769</v>
      </c>
      <c r="B53" t="s">
        <v>215</v>
      </c>
      <c r="C53" t="s">
        <v>258</v>
      </c>
      <c r="D53" t="s">
        <v>260</v>
      </c>
    </row>
    <row r="54" spans="1:4" x14ac:dyDescent="0.25">
      <c r="A54" t="s">
        <v>769</v>
      </c>
      <c r="B54" t="s">
        <v>215</v>
      </c>
      <c r="C54" t="s">
        <v>258</v>
      </c>
      <c r="D54" t="s">
        <v>261</v>
      </c>
    </row>
    <row r="55" spans="1:4" x14ac:dyDescent="0.25">
      <c r="A55" t="s">
        <v>769</v>
      </c>
      <c r="B55" t="s">
        <v>262</v>
      </c>
      <c r="C55" t="s">
        <v>263</v>
      </c>
      <c r="D55" t="s">
        <v>264</v>
      </c>
    </row>
    <row r="56" spans="1:4" x14ac:dyDescent="0.25">
      <c r="A56" t="s">
        <v>769</v>
      </c>
      <c r="B56" t="s">
        <v>262</v>
      </c>
      <c r="C56" t="s">
        <v>263</v>
      </c>
      <c r="D56" t="s">
        <v>265</v>
      </c>
    </row>
    <row r="57" spans="1:4" x14ac:dyDescent="0.25">
      <c r="A57" t="s">
        <v>769</v>
      </c>
      <c r="B57" t="s">
        <v>262</v>
      </c>
      <c r="C57" t="s">
        <v>263</v>
      </c>
      <c r="D57" t="s">
        <v>266</v>
      </c>
    </row>
    <row r="58" spans="1:4" x14ac:dyDescent="0.25">
      <c r="A58" t="s">
        <v>769</v>
      </c>
      <c r="B58" t="s">
        <v>262</v>
      </c>
      <c r="C58" t="s">
        <v>263</v>
      </c>
      <c r="D58" t="s">
        <v>267</v>
      </c>
    </row>
    <row r="59" spans="1:4" x14ac:dyDescent="0.25">
      <c r="A59" t="s">
        <v>769</v>
      </c>
      <c r="B59" t="s">
        <v>262</v>
      </c>
      <c r="C59" t="s">
        <v>268</v>
      </c>
      <c r="D59" t="s">
        <v>269</v>
      </c>
    </row>
    <row r="60" spans="1:4" x14ac:dyDescent="0.25">
      <c r="A60" t="s">
        <v>769</v>
      </c>
      <c r="B60" t="s">
        <v>262</v>
      </c>
      <c r="C60" t="s">
        <v>268</v>
      </c>
      <c r="D60" t="s">
        <v>270</v>
      </c>
    </row>
    <row r="61" spans="1:4" x14ac:dyDescent="0.25">
      <c r="A61" t="s">
        <v>769</v>
      </c>
      <c r="B61" t="s">
        <v>262</v>
      </c>
      <c r="C61" t="s">
        <v>268</v>
      </c>
      <c r="D61" t="s">
        <v>271</v>
      </c>
    </row>
    <row r="62" spans="1:4" x14ac:dyDescent="0.25">
      <c r="A62" t="s">
        <v>769</v>
      </c>
      <c r="B62" t="s">
        <v>272</v>
      </c>
      <c r="C62" t="s">
        <v>273</v>
      </c>
      <c r="D62" t="s">
        <v>274</v>
      </c>
    </row>
    <row r="63" spans="1:4" x14ac:dyDescent="0.25">
      <c r="A63" t="s">
        <v>769</v>
      </c>
      <c r="B63" t="s">
        <v>272</v>
      </c>
      <c r="C63" t="s">
        <v>273</v>
      </c>
      <c r="D63" t="s">
        <v>275</v>
      </c>
    </row>
    <row r="64" spans="1:4" x14ac:dyDescent="0.25">
      <c r="A64" t="s">
        <v>769</v>
      </c>
      <c r="B64" t="s">
        <v>272</v>
      </c>
      <c r="C64" t="s">
        <v>273</v>
      </c>
      <c r="D64" t="s">
        <v>276</v>
      </c>
    </row>
    <row r="65" spans="1:4" x14ac:dyDescent="0.25">
      <c r="A65" t="s">
        <v>769</v>
      </c>
      <c r="B65" t="s">
        <v>272</v>
      </c>
      <c r="C65" t="s">
        <v>273</v>
      </c>
      <c r="D65" t="s">
        <v>277</v>
      </c>
    </row>
    <row r="66" spans="1:4" x14ac:dyDescent="0.25">
      <c r="A66" t="s">
        <v>769</v>
      </c>
      <c r="B66" t="s">
        <v>272</v>
      </c>
      <c r="C66" t="s">
        <v>278</v>
      </c>
      <c r="D66" t="s">
        <v>279</v>
      </c>
    </row>
    <row r="67" spans="1:4" x14ac:dyDescent="0.25">
      <c r="A67" t="s">
        <v>769</v>
      </c>
      <c r="B67" t="s">
        <v>272</v>
      </c>
      <c r="C67" t="s">
        <v>278</v>
      </c>
      <c r="D67" t="s">
        <v>280</v>
      </c>
    </row>
    <row r="68" spans="1:4" x14ac:dyDescent="0.25">
      <c r="A68" t="s">
        <v>769</v>
      </c>
      <c r="B68" t="s">
        <v>272</v>
      </c>
      <c r="C68" t="s">
        <v>278</v>
      </c>
      <c r="D68" t="s">
        <v>281</v>
      </c>
    </row>
    <row r="69" spans="1:4" x14ac:dyDescent="0.25">
      <c r="A69" t="s">
        <v>769</v>
      </c>
      <c r="B69" t="s">
        <v>272</v>
      </c>
      <c r="C69" t="s">
        <v>278</v>
      </c>
      <c r="D69" t="s">
        <v>282</v>
      </c>
    </row>
    <row r="70" spans="1:4" x14ac:dyDescent="0.25">
      <c r="A70" t="s">
        <v>769</v>
      </c>
      <c r="B70" t="s">
        <v>272</v>
      </c>
      <c r="C70" t="s">
        <v>283</v>
      </c>
      <c r="D70" t="s">
        <v>284</v>
      </c>
    </row>
    <row r="71" spans="1:4" x14ac:dyDescent="0.25">
      <c r="A71" t="s">
        <v>769</v>
      </c>
      <c r="B71" t="s">
        <v>272</v>
      </c>
      <c r="C71" t="s">
        <v>283</v>
      </c>
      <c r="D71" t="s">
        <v>285</v>
      </c>
    </row>
    <row r="72" spans="1:4" x14ac:dyDescent="0.25">
      <c r="A72" t="s">
        <v>769</v>
      </c>
      <c r="B72" t="s">
        <v>272</v>
      </c>
      <c r="C72" t="s">
        <v>283</v>
      </c>
      <c r="D72" t="s">
        <v>286</v>
      </c>
    </row>
    <row r="73" spans="1:4" x14ac:dyDescent="0.25">
      <c r="A73" t="s">
        <v>769</v>
      </c>
      <c r="B73" t="s">
        <v>272</v>
      </c>
      <c r="C73" t="s">
        <v>283</v>
      </c>
      <c r="D73" t="s">
        <v>287</v>
      </c>
    </row>
    <row r="74" spans="1:4" x14ac:dyDescent="0.25">
      <c r="A74" t="s">
        <v>769</v>
      </c>
      <c r="B74" t="s">
        <v>272</v>
      </c>
      <c r="C74" t="s">
        <v>288</v>
      </c>
      <c r="D74" t="s">
        <v>284</v>
      </c>
    </row>
    <row r="75" spans="1:4" x14ac:dyDescent="0.25">
      <c r="A75" t="s">
        <v>769</v>
      </c>
      <c r="B75" t="s">
        <v>272</v>
      </c>
      <c r="C75" t="s">
        <v>288</v>
      </c>
      <c r="D75" t="s">
        <v>285</v>
      </c>
    </row>
    <row r="76" spans="1:4" x14ac:dyDescent="0.25">
      <c r="A76" t="s">
        <v>769</v>
      </c>
      <c r="B76" t="s">
        <v>272</v>
      </c>
      <c r="C76" t="s">
        <v>288</v>
      </c>
      <c r="D76" t="s">
        <v>286</v>
      </c>
    </row>
    <row r="77" spans="1:4" x14ac:dyDescent="0.25">
      <c r="A77" t="s">
        <v>769</v>
      </c>
      <c r="B77" t="s">
        <v>272</v>
      </c>
      <c r="C77" t="s">
        <v>288</v>
      </c>
      <c r="D77" t="s">
        <v>287</v>
      </c>
    </row>
    <row r="78" spans="1:4" x14ac:dyDescent="0.25">
      <c r="A78" t="s">
        <v>769</v>
      </c>
      <c r="B78" t="s">
        <v>272</v>
      </c>
      <c r="C78" t="s">
        <v>289</v>
      </c>
      <c r="D78" t="s">
        <v>290</v>
      </c>
    </row>
    <row r="79" spans="1:4" x14ac:dyDescent="0.25">
      <c r="A79" t="s">
        <v>769</v>
      </c>
      <c r="B79" t="s">
        <v>272</v>
      </c>
      <c r="C79" t="s">
        <v>289</v>
      </c>
      <c r="D79" t="s">
        <v>291</v>
      </c>
    </row>
    <row r="80" spans="1:4" x14ac:dyDescent="0.25">
      <c r="A80" t="s">
        <v>769</v>
      </c>
      <c r="B80" t="s">
        <v>272</v>
      </c>
      <c r="C80" t="s">
        <v>289</v>
      </c>
      <c r="D80" t="s">
        <v>292</v>
      </c>
    </row>
    <row r="81" spans="1:4" x14ac:dyDescent="0.25">
      <c r="A81" t="s">
        <v>769</v>
      </c>
      <c r="B81" t="s">
        <v>272</v>
      </c>
      <c r="C81" t="s">
        <v>293</v>
      </c>
      <c r="D81" t="s">
        <v>294</v>
      </c>
    </row>
    <row r="82" spans="1:4" x14ac:dyDescent="0.25">
      <c r="A82" t="s">
        <v>769</v>
      </c>
      <c r="B82" t="s">
        <v>272</v>
      </c>
      <c r="C82" t="s">
        <v>293</v>
      </c>
      <c r="D82" t="s">
        <v>295</v>
      </c>
    </row>
    <row r="83" spans="1:4" x14ac:dyDescent="0.25">
      <c r="A83" t="s">
        <v>769</v>
      </c>
      <c r="B83" t="s">
        <v>272</v>
      </c>
      <c r="C83" t="s">
        <v>293</v>
      </c>
      <c r="D83" t="s">
        <v>296</v>
      </c>
    </row>
    <row r="84" spans="1:4" x14ac:dyDescent="0.25">
      <c r="A84" t="s">
        <v>769</v>
      </c>
      <c r="B84" t="s">
        <v>272</v>
      </c>
      <c r="C84" t="s">
        <v>293</v>
      </c>
      <c r="D84" t="s">
        <v>297</v>
      </c>
    </row>
    <row r="85" spans="1:4" x14ac:dyDescent="0.25">
      <c r="A85" t="s">
        <v>769</v>
      </c>
      <c r="B85" t="s">
        <v>298</v>
      </c>
      <c r="C85" t="s">
        <v>299</v>
      </c>
      <c r="D85" t="s">
        <v>300</v>
      </c>
    </row>
    <row r="86" spans="1:4" x14ac:dyDescent="0.25">
      <c r="A86" t="s">
        <v>769</v>
      </c>
      <c r="B86" t="s">
        <v>298</v>
      </c>
      <c r="C86" t="s">
        <v>299</v>
      </c>
      <c r="D86" t="s">
        <v>301</v>
      </c>
    </row>
    <row r="87" spans="1:4" x14ac:dyDescent="0.25">
      <c r="A87" t="s">
        <v>769</v>
      </c>
      <c r="B87" t="s">
        <v>298</v>
      </c>
      <c r="C87" t="s">
        <v>299</v>
      </c>
      <c r="D87" t="s">
        <v>302</v>
      </c>
    </row>
    <row r="88" spans="1:4" x14ac:dyDescent="0.25">
      <c r="A88" t="s">
        <v>769</v>
      </c>
      <c r="B88" t="s">
        <v>298</v>
      </c>
      <c r="C88" t="s">
        <v>299</v>
      </c>
      <c r="D88" t="s">
        <v>303</v>
      </c>
    </row>
    <row r="89" spans="1:4" x14ac:dyDescent="0.25">
      <c r="A89" t="s">
        <v>769</v>
      </c>
      <c r="B89" t="s">
        <v>298</v>
      </c>
      <c r="C89" t="s">
        <v>304</v>
      </c>
      <c r="D89" t="s">
        <v>305</v>
      </c>
    </row>
    <row r="90" spans="1:4" x14ac:dyDescent="0.25">
      <c r="A90" t="s">
        <v>769</v>
      </c>
      <c r="B90" t="s">
        <v>298</v>
      </c>
      <c r="C90" t="s">
        <v>304</v>
      </c>
      <c r="D90" t="s">
        <v>306</v>
      </c>
    </row>
    <row r="91" spans="1:4" x14ac:dyDescent="0.25">
      <c r="A91" t="s">
        <v>769</v>
      </c>
      <c r="B91" t="s">
        <v>298</v>
      </c>
      <c r="C91" t="s">
        <v>304</v>
      </c>
      <c r="D91" t="s">
        <v>307</v>
      </c>
    </row>
    <row r="92" spans="1:4" x14ac:dyDescent="0.25">
      <c r="A92" t="s">
        <v>769</v>
      </c>
      <c r="B92" t="s">
        <v>298</v>
      </c>
      <c r="C92" t="s">
        <v>304</v>
      </c>
      <c r="D92" t="s">
        <v>308</v>
      </c>
    </row>
    <row r="93" spans="1:4" x14ac:dyDescent="0.25">
      <c r="A93" t="s">
        <v>769</v>
      </c>
      <c r="B93" t="s">
        <v>298</v>
      </c>
      <c r="C93" t="s">
        <v>309</v>
      </c>
      <c r="D93" t="s">
        <v>310</v>
      </c>
    </row>
    <row r="94" spans="1:4" x14ac:dyDescent="0.25">
      <c r="A94" t="s">
        <v>769</v>
      </c>
      <c r="B94" t="s">
        <v>298</v>
      </c>
      <c r="C94" t="s">
        <v>309</v>
      </c>
      <c r="D94" t="s">
        <v>311</v>
      </c>
    </row>
    <row r="95" spans="1:4" x14ac:dyDescent="0.25">
      <c r="A95" t="s">
        <v>769</v>
      </c>
      <c r="B95" t="s">
        <v>298</v>
      </c>
      <c r="C95" t="s">
        <v>309</v>
      </c>
      <c r="D95" t="s">
        <v>312</v>
      </c>
    </row>
    <row r="96" spans="1:4" x14ac:dyDescent="0.25">
      <c r="A96" t="s">
        <v>769</v>
      </c>
      <c r="B96" t="s">
        <v>298</v>
      </c>
      <c r="C96" t="s">
        <v>309</v>
      </c>
      <c r="D96" t="s">
        <v>313</v>
      </c>
    </row>
    <row r="97" spans="1:4" x14ac:dyDescent="0.25">
      <c r="A97" t="s">
        <v>769</v>
      </c>
      <c r="B97" t="s">
        <v>298</v>
      </c>
      <c r="C97" t="s">
        <v>314</v>
      </c>
      <c r="D97" t="s">
        <v>315</v>
      </c>
    </row>
    <row r="98" spans="1:4" x14ac:dyDescent="0.25">
      <c r="A98" t="s">
        <v>769</v>
      </c>
      <c r="B98" t="s">
        <v>298</v>
      </c>
      <c r="C98" t="s">
        <v>314</v>
      </c>
      <c r="D98" t="s">
        <v>316</v>
      </c>
    </row>
    <row r="99" spans="1:4" x14ac:dyDescent="0.25">
      <c r="A99" t="s">
        <v>769</v>
      </c>
      <c r="B99" t="s">
        <v>298</v>
      </c>
      <c r="C99" t="s">
        <v>314</v>
      </c>
      <c r="D99" t="s">
        <v>317</v>
      </c>
    </row>
    <row r="100" spans="1:4" x14ac:dyDescent="0.25">
      <c r="A100" t="s">
        <v>769</v>
      </c>
      <c r="B100" t="s">
        <v>298</v>
      </c>
      <c r="C100" t="s">
        <v>314</v>
      </c>
      <c r="D100" t="s">
        <v>317</v>
      </c>
    </row>
    <row r="101" spans="1:4" x14ac:dyDescent="0.25">
      <c r="A101" t="s">
        <v>769</v>
      </c>
      <c r="B101" t="s">
        <v>298</v>
      </c>
      <c r="C101" t="s">
        <v>318</v>
      </c>
      <c r="D101" t="s">
        <v>319</v>
      </c>
    </row>
    <row r="102" spans="1:4" x14ac:dyDescent="0.25">
      <c r="A102" t="s">
        <v>769</v>
      </c>
      <c r="B102" t="s">
        <v>298</v>
      </c>
      <c r="C102" t="s">
        <v>318</v>
      </c>
      <c r="D102" t="s">
        <v>320</v>
      </c>
    </row>
    <row r="103" spans="1:4" x14ac:dyDescent="0.25">
      <c r="A103" t="s">
        <v>769</v>
      </c>
      <c r="B103" t="s">
        <v>298</v>
      </c>
      <c r="C103" t="s">
        <v>318</v>
      </c>
      <c r="D103" t="s">
        <v>321</v>
      </c>
    </row>
    <row r="104" spans="1:4" x14ac:dyDescent="0.25">
      <c r="A104" t="s">
        <v>769</v>
      </c>
      <c r="B104" t="s">
        <v>298</v>
      </c>
      <c r="C104" t="s">
        <v>318</v>
      </c>
      <c r="D104" t="s">
        <v>322</v>
      </c>
    </row>
    <row r="105" spans="1:4" x14ac:dyDescent="0.25">
      <c r="A105" t="s">
        <v>769</v>
      </c>
      <c r="B105" t="s">
        <v>298</v>
      </c>
      <c r="C105" t="s">
        <v>323</v>
      </c>
      <c r="D105" t="s">
        <v>324</v>
      </c>
    </row>
    <row r="106" spans="1:4" x14ac:dyDescent="0.25">
      <c r="A106" t="s">
        <v>769</v>
      </c>
      <c r="B106" t="s">
        <v>298</v>
      </c>
      <c r="C106" t="s">
        <v>323</v>
      </c>
      <c r="D106" t="s">
        <v>325</v>
      </c>
    </row>
    <row r="107" spans="1:4" x14ac:dyDescent="0.25">
      <c r="A107" t="s">
        <v>769</v>
      </c>
      <c r="B107" t="s">
        <v>298</v>
      </c>
      <c r="C107" t="s">
        <v>323</v>
      </c>
      <c r="D107" t="s">
        <v>326</v>
      </c>
    </row>
    <row r="108" spans="1:4" x14ac:dyDescent="0.25">
      <c r="A108" t="s">
        <v>769</v>
      </c>
      <c r="B108" t="s">
        <v>298</v>
      </c>
      <c r="C108" t="s">
        <v>323</v>
      </c>
      <c r="D108" t="s">
        <v>327</v>
      </c>
    </row>
    <row r="109" spans="1:4" x14ac:dyDescent="0.25">
      <c r="A109" t="s">
        <v>769</v>
      </c>
      <c r="B109" t="s">
        <v>328</v>
      </c>
      <c r="C109" t="s">
        <v>329</v>
      </c>
      <c r="D109" t="s">
        <v>330</v>
      </c>
    </row>
    <row r="110" spans="1:4" x14ac:dyDescent="0.25">
      <c r="A110" t="s">
        <v>769</v>
      </c>
      <c r="B110" t="s">
        <v>328</v>
      </c>
      <c r="C110" t="s">
        <v>329</v>
      </c>
      <c r="D110" t="s">
        <v>331</v>
      </c>
    </row>
    <row r="111" spans="1:4" x14ac:dyDescent="0.25">
      <c r="A111" t="s">
        <v>769</v>
      </c>
      <c r="B111" t="s">
        <v>328</v>
      </c>
      <c r="C111" t="s">
        <v>329</v>
      </c>
      <c r="D111" t="s">
        <v>332</v>
      </c>
    </row>
    <row r="112" spans="1:4" x14ac:dyDescent="0.25">
      <c r="A112" t="s">
        <v>769</v>
      </c>
      <c r="B112" t="s">
        <v>328</v>
      </c>
      <c r="C112" t="s">
        <v>329</v>
      </c>
      <c r="D112" t="s">
        <v>333</v>
      </c>
    </row>
    <row r="113" spans="1:4" x14ac:dyDescent="0.25">
      <c r="A113" t="s">
        <v>769</v>
      </c>
      <c r="B113" t="s">
        <v>328</v>
      </c>
      <c r="C113" t="s">
        <v>329</v>
      </c>
      <c r="D113" t="s">
        <v>333</v>
      </c>
    </row>
    <row r="114" spans="1:4" x14ac:dyDescent="0.25">
      <c r="A114" t="s">
        <v>769</v>
      </c>
      <c r="B114" t="s">
        <v>328</v>
      </c>
      <c r="C114" t="s">
        <v>334</v>
      </c>
      <c r="D114" t="s">
        <v>335</v>
      </c>
    </row>
    <row r="115" spans="1:4" x14ac:dyDescent="0.25">
      <c r="A115" t="s">
        <v>769</v>
      </c>
      <c r="B115" t="s">
        <v>328</v>
      </c>
      <c r="C115" t="s">
        <v>334</v>
      </c>
      <c r="D115" t="s">
        <v>336</v>
      </c>
    </row>
    <row r="116" spans="1:4" x14ac:dyDescent="0.25">
      <c r="A116" t="s">
        <v>769</v>
      </c>
      <c r="B116" t="s">
        <v>328</v>
      </c>
      <c r="C116" t="s">
        <v>334</v>
      </c>
      <c r="D116" t="s">
        <v>337</v>
      </c>
    </row>
    <row r="117" spans="1:4" x14ac:dyDescent="0.25">
      <c r="A117" t="s">
        <v>769</v>
      </c>
      <c r="B117" t="s">
        <v>338</v>
      </c>
      <c r="C117" t="s">
        <v>214</v>
      </c>
      <c r="D117" t="s">
        <v>339</v>
      </c>
    </row>
    <row r="118" spans="1:4" x14ac:dyDescent="0.25">
      <c r="A118" t="s">
        <v>769</v>
      </c>
      <c r="B118" t="s">
        <v>338</v>
      </c>
      <c r="C118" t="s">
        <v>214</v>
      </c>
      <c r="D118" t="s">
        <v>340</v>
      </c>
    </row>
    <row r="119" spans="1:4" x14ac:dyDescent="0.25">
      <c r="A119" t="s">
        <v>769</v>
      </c>
      <c r="B119" t="s">
        <v>338</v>
      </c>
      <c r="C119" t="s">
        <v>214</v>
      </c>
      <c r="D119" t="s">
        <v>341</v>
      </c>
    </row>
    <row r="120" spans="1:4" x14ac:dyDescent="0.25">
      <c r="A120" t="s">
        <v>769</v>
      </c>
      <c r="B120" t="s">
        <v>338</v>
      </c>
      <c r="C120" t="s">
        <v>214</v>
      </c>
      <c r="D120" t="s">
        <v>342</v>
      </c>
    </row>
  </sheetData>
  <mergeCells count="2">
    <mergeCell ref="A2:E2"/>
    <mergeCell ref="A1:O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14_SUPABASE_SCHEMA</vt:lpstr>
      <vt:lpstr>13_BARKOD_QR</vt:lpstr>
      <vt:lpstr>ciljevi</vt:lpstr>
      <vt:lpstr>merila</vt:lpstr>
      <vt:lpstr>eskalacije</vt:lpstr>
      <vt:lpstr>osmd_izvestaji</vt:lpstr>
      <vt:lpstr>analiza_smena</vt:lpstr>
      <vt:lpstr>analiza_masina</vt:lpstr>
      <vt:lpstr>analiza_kontrolor</vt:lpstr>
      <vt:lpstr>pareto</vt:lpstr>
      <vt:lpstr>dpmo</vt:lpstr>
      <vt:lpstr>7_SPC_KARTE</vt:lpstr>
      <vt:lpstr>kontrolni_log</vt:lpstr>
      <vt:lpstr>unos_merenja</vt:lpstr>
      <vt:lpstr>radni_nalozi</vt:lpstr>
      <vt:lpstr>radnici</vt:lpstr>
      <vt:lpstr>linije</vt:lpstr>
      <vt:lpstr>delovi</vt:lpstr>
      <vt:lpstr>masine</vt:lpstr>
      <vt:lpstr>smene</vt:lpstr>
      <vt:lpstr>greske_katalog</vt:lpstr>
      <vt:lpstr>katalog_gresaka_vozilo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 dex</dc:creator>
  <cp:lastModifiedBy>dex dex</cp:lastModifiedBy>
  <dcterms:created xsi:type="dcterms:W3CDTF">2026-06-02T14:49:47Z</dcterms:created>
  <dcterms:modified xsi:type="dcterms:W3CDTF">2026-06-03T12:27:37Z</dcterms:modified>
</cp:coreProperties>
</file>
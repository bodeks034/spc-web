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jan\Downloads\"/>
    </mc:Choice>
  </mc:AlternateContent>
  <xr:revisionPtr revIDLastSave="0" documentId="13_ncr:1_{E442909B-50ED-4E3B-BCE3-1FDB1CA1D82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FMEA" sheetId="1" r:id="rId1"/>
    <sheet name="Control Plan" sheetId="2" r:id="rId2"/>
    <sheet name="RPN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3" l="1"/>
  <c r="F14" i="3"/>
  <c r="H14" i="3" s="1"/>
  <c r="F13" i="3"/>
  <c r="H13" i="3" s="1"/>
  <c r="F12" i="3"/>
  <c r="H12" i="3" s="1"/>
  <c r="F11" i="3"/>
  <c r="H11" i="3" s="1"/>
  <c r="F10" i="3"/>
  <c r="H10" i="3" s="1"/>
  <c r="F9" i="3"/>
  <c r="H9" i="3" s="1"/>
  <c r="F8" i="3"/>
  <c r="H8" i="3" s="1"/>
  <c r="F7" i="3"/>
  <c r="H7" i="3" s="1"/>
  <c r="F6" i="3"/>
  <c r="H6" i="3" s="1"/>
  <c r="F5" i="3"/>
  <c r="H5" i="3" s="1"/>
  <c r="F4" i="3"/>
  <c r="H4" i="3" s="1"/>
  <c r="F3" i="3"/>
  <c r="H3" i="3" s="1"/>
  <c r="R16" i="1"/>
  <c r="K16" i="1"/>
  <c r="R15" i="1"/>
  <c r="K15" i="1"/>
  <c r="R14" i="1"/>
  <c r="K14" i="1"/>
  <c r="R13" i="1"/>
  <c r="K13" i="1"/>
  <c r="R12" i="1"/>
  <c r="K12" i="1"/>
  <c r="R11" i="1"/>
  <c r="K11" i="1"/>
  <c r="R10" i="1"/>
  <c r="K10" i="1"/>
  <c r="R9" i="1"/>
  <c r="K9" i="1"/>
  <c r="R8" i="1"/>
  <c r="K8" i="1"/>
  <c r="R7" i="1"/>
  <c r="K7" i="1"/>
  <c r="R6" i="1"/>
  <c r="K6" i="1"/>
  <c r="R5" i="1"/>
  <c r="K5" i="1"/>
  <c r="H15" i="3" l="1"/>
  <c r="F15" i="3"/>
</calcChain>
</file>

<file path=xl/sharedStrings.xml><?xml version="1.0" encoding="utf-8"?>
<sst xmlns="http://schemas.openxmlformats.org/spreadsheetml/2006/main" count="496" uniqueCount="385">
  <si>
    <t>PFMEA — Procesna analiza načina i posljedica grešaka</t>
  </si>
  <si>
    <t>Organizacija: OEM Automotive d.o.o.</t>
  </si>
  <si>
    <t>Datum: 28.06.2026.</t>
  </si>
  <si>
    <t>Verzija: 1.0</t>
  </si>
  <si>
    <t>Odobrio: Ing. Petrović (KK)</t>
  </si>
  <si>
    <t>IDENTIFIKACIJA PROCESA</t>
  </si>
  <si>
    <t>POTENCIJALNA GREŠKA</t>
  </si>
  <si>
    <t>EFEKAT I OZBILJNOST</t>
  </si>
  <si>
    <t>UZROK I POJAVLJIVANJE</t>
  </si>
  <si>
    <t>KONTROLE I OTKRIVANJE</t>
  </si>
  <si>
    <t>RPN
AFTER</t>
  </si>
  <si>
    <t>STATUS / ODGOVORNOST</t>
  </si>
  <si>
    <t>Proces /
Operacija</t>
  </si>
  <si>
    <t>Mod greške</t>
  </si>
  <si>
    <t>Uzrok greške</t>
  </si>
  <si>
    <t>Efekat greške</t>
  </si>
  <si>
    <t>S
(Ozbiljnost)</t>
  </si>
  <si>
    <t>Uzrok / Mehanizam</t>
  </si>
  <si>
    <t>O
(Pojavl.)</t>
  </si>
  <si>
    <t>Postojeće kontrole</t>
  </si>
  <si>
    <t>D
(Otkrivanje)</t>
  </si>
  <si>
    <t>RPN
Before</t>
  </si>
  <si>
    <t>Preporučena akcija</t>
  </si>
  <si>
    <t>Odgovorni</t>
  </si>
  <si>
    <t>Rok</t>
  </si>
  <si>
    <t>Status</t>
  </si>
  <si>
    <t>S'</t>
  </si>
  <si>
    <t>O'</t>
  </si>
  <si>
    <t>RPN
After</t>
  </si>
  <si>
    <t>PFMEA
Veza</t>
  </si>
  <si>
    <t>Control Plan
Ref.</t>
  </si>
  <si>
    <t>NM-001
Nosač motora</t>
  </si>
  <si>
    <t>WS-04
Zavarivanje MIG</t>
  </si>
  <si>
    <t>Pukotina zavara u HAZ zoni (P3, P7)</t>
  </si>
  <si>
    <t>Greška geometrije / integritet spoja</t>
  </si>
  <si>
    <t>Neispunjenje EM-STD-112; kvar u eksploataciji</t>
  </si>
  <si>
    <t>Parametri van WPS; istrošen pištolj; vlažna žica; propuh u hali</t>
  </si>
  <si>
    <t>PT pregled 5% uzorka; vizuelni pregled</t>
  </si>
  <si>
    <t>SPC praćenje parametara (U, I, v) u realnom vremenu; 100% PT pregled</t>
  </si>
  <si>
    <t>Ing. Nikolić / KK</t>
  </si>
  <si>
    <t>15.06.2026.</t>
  </si>
  <si>
    <t>Završeno</t>
  </si>
  <si>
    <t>PFMEA-NM-001 §3.2</t>
  </si>
  <si>
    <t>CP-NM-001 Op.04</t>
  </si>
  <si>
    <t>Loša penetracija zavara</t>
  </si>
  <si>
    <t>Nedovoljna dubina taljenja</t>
  </si>
  <si>
    <t>Smanjena čvrstoća — EM-STD-112 nije zadovoljen</t>
  </si>
  <si>
    <t>Prenizak napon; prevelika brzina zavarivanja</t>
  </si>
  <si>
    <t>Vizuelni pregled; destruktivno testiranje uzorka</t>
  </si>
  <si>
    <t>Uvesti WPS alarm pri naponu &lt; donje granice; poka-yoke zaustavljanje</t>
  </si>
  <si>
    <t>Ing. Nikolić</t>
  </si>
  <si>
    <t>20.06.2026.</t>
  </si>
  <si>
    <t>PFMEA-NM-001 §3.3</t>
  </si>
  <si>
    <t>Pogreška pozicije zavara (offset &gt; 2 mm)</t>
  </si>
  <si>
    <t>Nemogućnost montaže; NCR pri kupcu</t>
  </si>
  <si>
    <t>Neispravna fikstura; istrošeni locatori</t>
  </si>
  <si>
    <t>Stevanović / Tooling</t>
  </si>
  <si>
    <t>18.06.2026.</t>
  </si>
  <si>
    <t>PFMEA-NM-001 §3.4</t>
  </si>
  <si>
    <t>SA-002
Šasija vozila</t>
  </si>
  <si>
    <t>S-02/S-03
Sklapanje šasije</t>
  </si>
  <si>
    <t>Devijacija geometrije B7 van tol. (±1.0 mm)</t>
  </si>
  <si>
    <t>Greška pozicije poprečnog nosača</t>
  </si>
  <si>
    <t>Nemogućnost montaže osovine; VSK-0112 nije zadovoljen</t>
  </si>
  <si>
    <t>Stanić / Ristić</t>
  </si>
  <si>
    <t>25.06.2026.</t>
  </si>
  <si>
    <t>PFMEA-SA-002 §2.1</t>
  </si>
  <si>
    <t>CP-SA-002 Op.S03</t>
  </si>
  <si>
    <t>Deformacija bočnog longerona pri stezanju</t>
  </si>
  <si>
    <t>Prevelika sila stezanja fiksture</t>
  </si>
  <si>
    <t>Geometrijska neskladnost; lom u eksploataciji</t>
  </si>
  <si>
    <t>Stanić / Inženjering</t>
  </si>
  <si>
    <t>30.06.2026.</t>
  </si>
  <si>
    <t>PFMEA-SA-002 §2.3</t>
  </si>
  <si>
    <t>CP-SA-002 Op.S02</t>
  </si>
  <si>
    <t>Zavarivanje
SA-ZAV-01</t>
  </si>
  <si>
    <t>Loš zavar poprečnog nosača</t>
  </si>
  <si>
    <t>Greška spoja nosača</t>
  </si>
  <si>
    <t>Smanjenje krutosti šasije; NCR pri auditu</t>
  </si>
  <si>
    <t>Parametri MIG van WPS; istrošen inzert</t>
  </si>
  <si>
    <t>Vizuelni pregled; PT uzorka (3%)</t>
  </si>
  <si>
    <t>22.06.2026.</t>
  </si>
  <si>
    <t>PFMEA-SA-002 §2.5</t>
  </si>
  <si>
    <t>CP-SA-002 Op.ZAV</t>
  </si>
  <si>
    <t>OS-003
Pogonska osovina</t>
  </si>
  <si>
    <t>T-07
CNC Struganje</t>
  </si>
  <si>
    <t>Istrošen CNC inzert; krivi tool life limit; temp. rashladnog sredstva</t>
  </si>
  <si>
    <t>Simić / Milić</t>
  </si>
  <si>
    <t>28.06.2026.</t>
  </si>
  <si>
    <t>PFMEA-OS-003 §4.1</t>
  </si>
  <si>
    <t>CP-OS-003 Op.T07</t>
  </si>
  <si>
    <t>T-07
CNC Brušenje</t>
  </si>
  <si>
    <t>Hrapavost površine Ra izvan spec. (Ra &gt; 0.8 μm)</t>
  </si>
  <si>
    <t>Automatsko praćenje dotrajalosti brusne ploče; 100% Ra kontrola</t>
  </si>
  <si>
    <t>Bogdanović / KK</t>
  </si>
  <si>
    <t>02.07.2026.</t>
  </si>
  <si>
    <t>PFMEA-OS-003 §4.3</t>
  </si>
  <si>
    <t>CP-OS-003 Op.BR</t>
  </si>
  <si>
    <t>T-07
Termička obrada</t>
  </si>
  <si>
    <t>Tvrdoća HRC izvan spec. (spec: 58-62 HRC)</t>
  </si>
  <si>
    <t>Greška termičke obrade</t>
  </si>
  <si>
    <t>Smanjena otpornost na habanje; kvar u eksploataciji</t>
  </si>
  <si>
    <t>Neispravni parametri peći; varijacija šarže materijala</t>
  </si>
  <si>
    <t>SPC HRC po šarži; 100% HRC mjerenje; Process Approval za pec</t>
  </si>
  <si>
    <t>Simić / Metalurg</t>
  </si>
  <si>
    <t>05.07.2026.</t>
  </si>
  <si>
    <t>PFMEA-OS-003 §4.5</t>
  </si>
  <si>
    <t>CP-OS-003 Op.TO</t>
  </si>
  <si>
    <t>NME-004
Nosač menjača</t>
  </si>
  <si>
    <t>BM-12
CNC Bušenje</t>
  </si>
  <si>
    <t>Pozicija otvora P-4L van tol. (ΔX = +1.8 mm)</t>
  </si>
  <si>
    <t>Greška pozicije otvora M14</t>
  </si>
  <si>
    <t>Nemogućnost montaže menjača; TRANS-STD-088 nije zadovoljen</t>
  </si>
  <si>
    <t>Greška CNC programa (offset); nema FAI verifikacije; istrošena fikstura</t>
  </si>
  <si>
    <t>Ilić / Knežević</t>
  </si>
  <si>
    <t>PFMEA-NME-004 §5.1</t>
  </si>
  <si>
    <t>CP-NME-004 Op.BM12</t>
  </si>
  <si>
    <t>Greška dimenzije otvora M14</t>
  </si>
  <si>
    <t>Loša navojna veza; smanjena čvrstoća spoja</t>
  </si>
  <si>
    <t>PFMEA-NME-004 §5.2</t>
  </si>
  <si>
    <t>Montaža
NME-MON</t>
  </si>
  <si>
    <t>Oštećenje navoja pri montaži vijka M14</t>
  </si>
  <si>
    <t>Prekoračenje momenta pritezanja</t>
  </si>
  <si>
    <t>Nesigurna veza menjača; kvar vijčane veze</t>
  </si>
  <si>
    <t>Neispravni alat za pritezanje; operater bez OJT</t>
  </si>
  <si>
    <t>Poka-yoke: momentni ključ s alarmom; OJT obuka; 100% kontrola navoja</t>
  </si>
  <si>
    <t>Savić / KK</t>
  </si>
  <si>
    <t>PFMEA-NME-004 §5.4</t>
  </si>
  <si>
    <t>CP-NME-004 Op.MON</t>
  </si>
  <si>
    <t>LEGENDA RPN:   🔴 RPN ≥ 200 — KRITIČNO (obavezna hitna akcija)   |   🟡 RPN 100–199 — VISOK RIZIK (akcija u 30 dana)   |   🟢 RPN &lt; 100 — PRIHVATLJIVO</t>
  </si>
  <si>
    <t>CONTROL PLAN — Plan upravljanja kvalitetom</t>
  </si>
  <si>
    <t>CP Verzija: 2.0 / 28.06.2026.</t>
  </si>
  <si>
    <t>PPAP Level: 3</t>
  </si>
  <si>
    <t>Odobrio: Ing. Petrović</t>
  </si>
  <si>
    <t>PFMEA Ref: Ver. 1.0</t>
  </si>
  <si>
    <t>KARAKTERISTIKA
KONTROLE</t>
  </si>
  <si>
    <t>SPECIFIKACIJA</t>
  </si>
  <si>
    <t>UČESTALOST /
VELIČINA UZORKA</t>
  </si>
  <si>
    <t>ODGOVORNOST /
ZAPIS</t>
  </si>
  <si>
    <t>PFMEA
REFERENCE</t>
  </si>
  <si>
    <t>STATUS</t>
  </si>
  <si>
    <t>Operacija /
Proces</t>
  </si>
  <si>
    <t>Karakteristika
(KSK/VSK)</t>
  </si>
  <si>
    <t>Klasifikacija
Karakt.</t>
  </si>
  <si>
    <t>Tolerancija /
Spec.</t>
  </si>
  <si>
    <t>Oprema /
Instrument</t>
  </si>
  <si>
    <t>MSA
Status</t>
  </si>
  <si>
    <t>Učestalost
kontrole</t>
  </si>
  <si>
    <t>Veličina
uzorka</t>
  </si>
  <si>
    <t>Reakcija na
nekontrolisano stanje</t>
  </si>
  <si>
    <t>Zapis / Forma</t>
  </si>
  <si>
    <t>PFMEA §
Referenca</t>
  </si>
  <si>
    <t>Mod greške
(PFMEA)</t>
  </si>
  <si>
    <t>Status
CP</t>
  </si>
  <si>
    <t>Napon zavarivania (U)</t>
  </si>
  <si>
    <t>KSK</t>
  </si>
  <si>
    <t>22.0 V</t>
  </si>
  <si>
    <t>20.5–23.5 V</t>
  </si>
  <si>
    <t>SPC modul WS-04 / Voltmetar</t>
  </si>
  <si>
    <t>R&amp;R ≤ 10%</t>
  </si>
  <si>
    <t>Kontinuirano (svaki kom)</t>
  </si>
  <si>
    <t>100%</t>
  </si>
  <si>
    <t>Operater WS-04</t>
  </si>
  <si>
    <t>F-WS04-SPC / F-NCR-001</t>
  </si>
  <si>
    <t>PFMEA-NM §3.2</t>
  </si>
  <si>
    <t>Pukotina / loša penetracija</t>
  </si>
  <si>
    <t>Aktivan</t>
  </si>
  <si>
    <t>Struja zavarivania (I)</t>
  </si>
  <si>
    <t>200 A</t>
  </si>
  <si>
    <t>185–215 A</t>
  </si>
  <si>
    <t>SPC online monitoring</t>
  </si>
  <si>
    <t>SPC modul WS-04 / Ampermetar</t>
  </si>
  <si>
    <t>Zaustaviti liniju; podesiti parametre</t>
  </si>
  <si>
    <t>F-WS04-SPC</t>
  </si>
  <si>
    <t>Pukotina zavara</t>
  </si>
  <si>
    <t>PT Pregled
Finalni</t>
  </si>
  <si>
    <t>Integritet zavarenog spoja (PT)</t>
  </si>
  <si>
    <t>Bez pukotina</t>
  </si>
  <si>
    <t>0 pukotina — PT klasa 1</t>
  </si>
  <si>
    <t>100% penetrantsko ispitivanje (PT metoda EN-ISO 3452)</t>
  </si>
  <si>
    <t>PT komplet / UV lampa</t>
  </si>
  <si>
    <t>Godišnja verifikacija</t>
  </si>
  <si>
    <t>Svaki komad</t>
  </si>
  <si>
    <t>Stop isporuke; izolacija; 8D otvaranje</t>
  </si>
  <si>
    <t>KK Inspektor</t>
  </si>
  <si>
    <t>F-PT-NM001 / F-NCR</t>
  </si>
  <si>
    <t>PFMEA-NM §3.2/3.3</t>
  </si>
  <si>
    <t>Pozicija zavara (offset)</t>
  </si>
  <si>
    <t>VSK</t>
  </si>
  <si>
    <t>Prema nacrtu</t>
  </si>
  <si>
    <t>±2.0 mm</t>
  </si>
  <si>
    <t>R&amp;R ≤ 15%</t>
  </si>
  <si>
    <t>Svaki 10. kom (10%)</t>
  </si>
  <si>
    <t>10%</t>
  </si>
  <si>
    <t>Operater + KK</t>
  </si>
  <si>
    <t>F-VIZ-NM04</t>
  </si>
  <si>
    <t>PFMEA-NM §3.4</t>
  </si>
  <si>
    <t>Pogreška pozicije zavara</t>
  </si>
  <si>
    <t>S-03
Sklapanje šasije</t>
  </si>
  <si>
    <t>Geometrija — Tačka B7 (ΔX, ΔY)</t>
  </si>
  <si>
    <t>0.0 mm</t>
  </si>
  <si>
    <t>±1.0 mm</t>
  </si>
  <si>
    <t>100% inline laserski senzor + CMM pri izmjeni LOT-a</t>
  </si>
  <si>
    <t>Laser B7-SENS / Zeiss Contura CMM</t>
  </si>
  <si>
    <t>R&amp;R ≤ 5%</t>
  </si>
  <si>
    <t>Svaki komad (100%)</t>
  </si>
  <si>
    <t>Hold LOT; 100% CMM; NCR</t>
  </si>
  <si>
    <t>Operater S-03 + KK Metrolog</t>
  </si>
  <si>
    <t>F-CMM-SA002 / F-LASER-B7</t>
  </si>
  <si>
    <t>PFMEA-SA §2.1</t>
  </si>
  <si>
    <t>Devijacija geometrije B7</t>
  </si>
  <si>
    <t>Dnevni PM pregled fiksture FX-SA-07</t>
  </si>
  <si>
    <t>Per PM protokol</t>
  </si>
  <si>
    <t>0 devijacija pozicionera</t>
  </si>
  <si>
    <t>Godišnja kalibracija</t>
  </si>
  <si>
    <t>Blokirati stanicu S-03; popravak fiksture</t>
  </si>
  <si>
    <t>Tooling J. Stevanović</t>
  </si>
  <si>
    <t>F-PM-FX-SA07</t>
  </si>
  <si>
    <t>Devijacija geometrije</t>
  </si>
  <si>
    <t>SA-ZAV-01
Zavarivanje šasije</t>
  </si>
  <si>
    <t>Integritet zavara poprečnog nosača</t>
  </si>
  <si>
    <t>Bez nedostataka</t>
  </si>
  <si>
    <t>PT klasa 2; vizualno A</t>
  </si>
  <si>
    <t>PT pregled uzorka + vizuelni 100%</t>
  </si>
  <si>
    <t>PT komplet; vizualni standard</t>
  </si>
  <si>
    <t>Godišnja</t>
  </si>
  <si>
    <t>Svaki 5. LOT; vizualno svaki kom</t>
  </si>
  <si>
    <t>Uzorački PT: 20%; vizualno: 100%</t>
  </si>
  <si>
    <t>Stop isporuke; 8D otvaranje</t>
  </si>
  <si>
    <t>NCR; Hold LOT</t>
  </si>
  <si>
    <t>F-PT-SA002</t>
  </si>
  <si>
    <t>PFMEA-SA §2.5</t>
  </si>
  <si>
    <t>Loš zavar nosača</t>
  </si>
  <si>
    <t>Prečnik rukavca OS-Ø2</t>
  </si>
  <si>
    <t>Ø50.000 mm</t>
  </si>
  <si>
    <t>±0.015 mm (Ø49.985–50.015)</t>
  </si>
  <si>
    <t>Blum NT80 / SPC software</t>
  </si>
  <si>
    <t>R&amp;R ≤ 10%; kalibracija 6 mj.</t>
  </si>
  <si>
    <t>Zaustav. CNC T-07; provjer. inzert; podesiti offset; pozvati KK</t>
  </si>
  <si>
    <t>Hold LOT; 100% mjerenje; NCR; zamjena inzerta</t>
  </si>
  <si>
    <t>CNC Operater T-07 + KK Metrolog</t>
  </si>
  <si>
    <t>F-SPC-OS003-Ø2 / F-NCR</t>
  </si>
  <si>
    <t>PFMEA-OS §4.1</t>
  </si>
  <si>
    <t>Hrapavost površine Ra (ležajno sjedište)</t>
  </si>
  <si>
    <t>Ra 0.4 μm</t>
  </si>
  <si>
    <t>Ra ≤ 0.8 μm</t>
  </si>
  <si>
    <t>100% profilometar + uzorački SPC</t>
  </si>
  <si>
    <t>Mitutoyo SJ-210 / SPC software</t>
  </si>
  <si>
    <t>Svaki 5. kom (20%)</t>
  </si>
  <si>
    <t>20%</t>
  </si>
  <si>
    <t>Zaustav. brusni centar; zamijeni brusnu ploču; pozvati KK</t>
  </si>
  <si>
    <t>Hold serija; 100% Ra mjerenje; NCR</t>
  </si>
  <si>
    <t>CNC Operater + KK</t>
  </si>
  <si>
    <t>F-RA-OS003</t>
  </si>
  <si>
    <t>PFMEA-OS §4.3</t>
  </si>
  <si>
    <t>Ra izvan spec.</t>
  </si>
  <si>
    <t>Termička obrada
TO-01</t>
  </si>
  <si>
    <t>Tvrdoća HRC (58–62 HRC)</t>
  </si>
  <si>
    <t>60 HRC</t>
  </si>
  <si>
    <t>58–62 HRC</t>
  </si>
  <si>
    <t>Wilson Rockwell HR-150A</t>
  </si>
  <si>
    <t>Kalibracija godišnja</t>
  </si>
  <si>
    <t>Uzor.: 3/šarža</t>
  </si>
  <si>
    <t>Hold šarža; ponoviti termičku obradu ili škart</t>
  </si>
  <si>
    <t>Metalurg + KK</t>
  </si>
  <si>
    <t>F-HRC-OS003</t>
  </si>
  <si>
    <t>PFMEA-OS §4.5</t>
  </si>
  <si>
    <t>HRC izvan spec.</t>
  </si>
  <si>
    <t>Pozicija otvora P-4L (ΔX, ΔY)</t>
  </si>
  <si>
    <t>Per nacrtu</t>
  </si>
  <si>
    <t>±0.3 mm</t>
  </si>
  <si>
    <t>Zeiss Contura CMM + SPC</t>
  </si>
  <si>
    <t>FAI + svaki 20. kom (5%)</t>
  </si>
  <si>
    <t>FAI: 1. kom; Uzor.: 5%</t>
  </si>
  <si>
    <t>Hold LOT; 100% CMM; NCR; revizija CNC programa</t>
  </si>
  <si>
    <t>CNC Programer + KK Metrolog</t>
  </si>
  <si>
    <t>F-CMM-NME004-P4L / F-FAI</t>
  </si>
  <si>
    <t>PFMEA-NME §5.1</t>
  </si>
  <si>
    <t>Poziciona greška otvora</t>
  </si>
  <si>
    <t>Prečnik otvora P-4L (M14 — pilot rupa)</t>
  </si>
  <si>
    <t>Ø12.0 mm</t>
  </si>
  <si>
    <t>±0.1 mm (Ø11.9–12.1)</t>
  </si>
  <si>
    <t>Mjerenje kalibrom + SPC uzorka</t>
  </si>
  <si>
    <t>Granični kalibri + SPC software</t>
  </si>
  <si>
    <t>Hold LOT; 100% kalibrom; NCR</t>
  </si>
  <si>
    <t>F-KAL-NME004</t>
  </si>
  <si>
    <t>PFMEA-NME §5.2</t>
  </si>
  <si>
    <t>Prečnik izvan spec.</t>
  </si>
  <si>
    <t>Moment pritezanja vijaka M14</t>
  </si>
  <si>
    <t>120 Nm</t>
  </si>
  <si>
    <t>115–125 Nm</t>
  </si>
  <si>
    <t>100% digitalni momentni ključ s poka-yoke bravom</t>
  </si>
  <si>
    <t>Saltus DSG 140 / Poka-Yoke sistem</t>
  </si>
  <si>
    <t>Odmontirati; reprovjera; NCR; OJT operatera</t>
  </si>
  <si>
    <t>F-MOMENT-NME004</t>
  </si>
  <si>
    <t>PFMEA-NME §5.4</t>
  </si>
  <si>
    <t>Oštećenje navoja</t>
  </si>
  <si>
    <t>LEGENDA:   🔴 KSK = Ključna sigurnosna karakteristika (obavezni 100% pregled)   |   🟡 VSK = Važna sigurnosna karakteristika (uzorački pregled + SPC)   |   Svi KSK moraju imati R&amp;R analizu i SPC praćenje</t>
  </si>
  <si>
    <t>RPN SUMMARY — Pregled poboljšanja rizika</t>
  </si>
  <si>
    <t>Dio / ID</t>
  </si>
  <si>
    <t>S</t>
  </si>
  <si>
    <t>O</t>
  </si>
  <si>
    <t>D</t>
  </si>
  <si>
    <t>RPN Before</t>
  </si>
  <si>
    <t>RPN After</t>
  </si>
  <si>
    <t>Poboljšanje %</t>
  </si>
  <si>
    <t>NM-001 Nosač motora</t>
  </si>
  <si>
    <t>Pukotina zavara HAZ</t>
  </si>
  <si>
    <t>Loša penetracija</t>
  </si>
  <si>
    <t>Offset pozicije zavara</t>
  </si>
  <si>
    <t>SA-002 Šasija</t>
  </si>
  <si>
    <t>Deformacija longerona</t>
  </si>
  <si>
    <t>OS-003 Osovina</t>
  </si>
  <si>
    <t>Ra hrapavost izvan spec.</t>
  </si>
  <si>
    <t>HRC tvrdoća izvan spec.</t>
  </si>
  <si>
    <t>NME-004 Nosač menjača</t>
  </si>
  <si>
    <t>Poziciona greška P-4L</t>
  </si>
  <si>
    <t>Prečnik otvora izvan spec.</t>
  </si>
  <si>
    <t>Oštećenje navoja M14</t>
  </si>
  <si>
    <t>Br.
Dela</t>
  </si>
  <si>
    <t>Pogrešna dimenzija sklopa</t>
  </si>
  <si>
    <t>Istrošena fikstura FX-SA-07; PM zakasneli; temp. varijacije</t>
  </si>
  <si>
    <t>CMM merenje 5% uzorka; nedeljni PM fiksture</t>
  </si>
  <si>
    <t>Vizuelni pregled; merenje pozicije uzorka (5%)</t>
  </si>
  <si>
    <t>Dnevna provera fiksture; SPC pozicije zavara</t>
  </si>
  <si>
    <t>Inline laserski senzor B7; digitalni PM sistem; dnevni PM fiksture</t>
  </si>
  <si>
    <t>Prečnik otvora van tolerancije (podmer/nadmer)</t>
  </si>
  <si>
    <t>Prečnik rukavca OS-Ø2 ispod donje tol. (podmer)</t>
  </si>
  <si>
    <t>Greška dimenzije ležajnog sedišta</t>
  </si>
  <si>
    <t>Greška kvalitete površine ležajnog sedišta</t>
  </si>
  <si>
    <t>Privremeno trošenje ležaja; buka u pogonu</t>
  </si>
  <si>
    <t>Labav naleganje ležaja; vibracije; kvar u eksploatacji</t>
  </si>
  <si>
    <t>Neispravna podešenost pritiska stezača; istrošeni prihvati</t>
  </si>
  <si>
    <t>Istrošena brusna ploča; neispravno balansiranje; loše hlađenje</t>
  </si>
  <si>
    <t>Istrošena burgija; krivi parametri bušenja; varijacija materijala</t>
  </si>
  <si>
    <t>Provera momenta uzorka (10%); vizuelni pregled navoja</t>
  </si>
  <si>
    <t>Merenje prečnika uzorka (5%) kalibrom</t>
  </si>
  <si>
    <t>CMM merenje 5% uzorka; vizuelni pregled</t>
  </si>
  <si>
    <t>HRC merenje 3 kom/šarža</t>
  </si>
  <si>
    <t>Merenje Ra uzorka (10%) profilometrom</t>
  </si>
  <si>
    <t>Merenje 10% uzorka pneumatskim meračem; vizuelni pregled</t>
  </si>
  <si>
    <t>Vizuelni pregled; kontrola pritiska stezanja (uzorak)</t>
  </si>
  <si>
    <t>Ugraditi senzor pritiska stezanja s alarmom; kalibracija stezača</t>
  </si>
  <si>
    <t>SPC parametara zavarivania; 100% PT pri promeni žice</t>
  </si>
  <si>
    <t>Automatska merna glava Blum (100% in-process); SPC X̄-R OS-Ø2; Process Approval</t>
  </si>
  <si>
    <t>Obavezan FAI CMM pri promeni programa; digitalni e-sign; SPC ΔX P-4L</t>
  </si>
  <si>
    <t>Tool life praćenje za burgije; 100% merenje pri promeni burgije; SPC prečnika</t>
  </si>
  <si>
    <t>FAI CMM pri promeni CNC programa + SPC X̄-R ΔX, ΔY</t>
  </si>
  <si>
    <t>HRC merenje Rockwell + 100% merenje pri promeni šarže</t>
  </si>
  <si>
    <t>100% automatska merna glava Blum (in-process) + SPC X̄-R karta</t>
  </si>
  <si>
    <t>Geometrijska provera fiksture mernim trnom</t>
  </si>
  <si>
    <t>Merni trn T-SA-07</t>
  </si>
  <si>
    <t>Merni šablon S-NM-04</t>
  </si>
  <si>
    <t>Vizuelni pregled + merenje šablonima</t>
  </si>
  <si>
    <t>SPC online monitoring + ručna provera</t>
  </si>
  <si>
    <t>Zaustaviti liniju; podesiti parametre; obavestiti KK</t>
  </si>
  <si>
    <t>Prilagoditi fiksaturu; obavestiti KK</t>
  </si>
  <si>
    <t>Zaustaviti liniju; proveriti fiksaturu FX-SA-07; pozvati KK</t>
  </si>
  <si>
    <t>Svaki dan (početak smene)</t>
  </si>
  <si>
    <t>Zaustaviti stanicu; servis fiksture; obavestiti Tooling</t>
  </si>
  <si>
    <t>1x/smena</t>
  </si>
  <si>
    <t>Svaki 3. kom/šarža; 100% pri promeni šarže</t>
  </si>
  <si>
    <t>Zaustaviti pec; provera parametara; Hold šarža; pozvati metalurga</t>
  </si>
  <si>
    <t>Zaustaviti BM-12; proveriti CNC offset; pozvati KK i programera</t>
  </si>
  <si>
    <t>Zameni burgiju; proveri parametre; pozvati KK</t>
  </si>
  <si>
    <t>Zaustaviti montažu; proveriti momentni ključ; pozvati KK</t>
  </si>
  <si>
    <t>Montažer + Vodja smene</t>
  </si>
  <si>
    <t>Izolovati; izmeriti; NCR</t>
  </si>
  <si>
    <t>NCR; Hold LOT; informisati kupca</t>
  </si>
  <si>
    <t>Izolovati; Hold; NCR</t>
  </si>
  <si>
    <t>Izolovati neusklađene; Hold LOT; NCR obrazac</t>
  </si>
  <si>
    <t>Reakcija na
nepravilan deo</t>
  </si>
  <si>
    <t>Br. Dela /
ID</t>
  </si>
  <si>
    <t>Podmer/nadmer prečnika</t>
  </si>
  <si>
    <t>REAKCIJA NA
NEUSKLAĐENOST</t>
  </si>
  <si>
    <t>METODA MERENJA / KONTROLE</t>
  </si>
  <si>
    <t>IDENTIFIKACIJA
DELA / PROCESA</t>
  </si>
  <si>
    <t>Nominalna
vrednost</t>
  </si>
  <si>
    <t>Metoda merenja</t>
  </si>
  <si>
    <t>Projekt: Pogonski sklopovi — 4 dela</t>
  </si>
  <si>
    <t>Podmer prečnika OS-Ø2</t>
  </si>
  <si>
    <t>PROSEK / UKUPNO</t>
  </si>
  <si>
    <t>PREPORUČENE AKCIJE / KOREKTIVNE MERE</t>
  </si>
  <si>
    <t>NOVA OCENA</t>
  </si>
  <si>
    <t>RPN
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</si>
</sst>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10"/>
      <color rgb="FF333333"/>
      <name val="Arial"/>
      <family val="2"/>
    </font>
    <font>
      <b/>
      <sz val="10"/>
      <color rgb="FF7B0000"/>
      <name val="Arial"/>
      <family val="2"/>
    </font>
    <font>
      <b/>
      <sz val="10"/>
      <color rgb="FF1B5E20"/>
      <name val="Arial"/>
      <family val="2"/>
    </font>
    <font>
      <b/>
      <sz val="9"/>
      <color rgb="FF333333"/>
      <name val="Arial"/>
      <family val="2"/>
    </font>
    <font>
      <sz val="9"/>
      <name val="Arial"/>
      <family val="2"/>
    </font>
    <font>
      <b/>
      <sz val="9"/>
      <color rgb="FF7B0000"/>
      <name val="Arial"/>
      <family val="2"/>
    </font>
    <font>
      <b/>
      <sz val="9"/>
      <color rgb="FF1B5E20"/>
      <name val="Arial"/>
      <family val="2"/>
    </font>
    <font>
      <b/>
      <sz val="9"/>
      <color rgb="FFE6510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9"/>
        <bgColor rgb="FFE8F5E9"/>
      </patternFill>
    </fill>
    <fill>
      <patternFill patternType="solid">
        <fgColor rgb="FF2B5EA7"/>
        <bgColor rgb="FF3366FF"/>
      </patternFill>
    </fill>
    <fill>
      <patternFill patternType="solid">
        <fgColor rgb="FF7B0000"/>
        <bgColor rgb="FF800000"/>
      </patternFill>
    </fill>
    <fill>
      <patternFill patternType="solid">
        <fgColor rgb="FF1B5E20"/>
        <bgColor rgb="FF333333"/>
      </patternFill>
    </fill>
    <fill>
      <patternFill patternType="solid">
        <fgColor rgb="FFD9E1F2"/>
        <bgColor rgb="FFEEF2F9"/>
      </patternFill>
    </fill>
    <fill>
      <patternFill patternType="solid">
        <fgColor rgb="FFFCE4D6"/>
        <bgColor rgb="FFFFF3E0"/>
      </patternFill>
    </fill>
    <fill>
      <patternFill patternType="solid">
        <fgColor rgb="FFC6EFCE"/>
        <bgColor rgb="FFD9E1F2"/>
      </patternFill>
    </fill>
    <fill>
      <patternFill patternType="solid">
        <fgColor rgb="FFFFF3E0"/>
        <bgColor rgb="FFFCE4D6"/>
      </patternFill>
    </fill>
    <fill>
      <patternFill patternType="solid">
        <fgColor rgb="FFE8F5E9"/>
        <bgColor rgb="FFEEF2F9"/>
      </patternFill>
    </fill>
  </fills>
  <borders count="4">
    <border>
      <left/>
      <right/>
      <top/>
      <bottom/>
      <diagonal/>
    </border>
    <border>
      <left style="medium">
        <color rgb="FF2B5EA7"/>
      </left>
      <right/>
      <top style="medium">
        <color rgb="FF2B5EA7"/>
      </top>
      <bottom style="medium">
        <color rgb="FF2B5EA7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 wrapText="1"/>
    </xf>
    <xf numFmtId="1" fontId="5" fillId="8" borderId="2" xfId="0" applyNumberFormat="1" applyFont="1" applyFill="1" applyBorder="1" applyAlignment="1">
      <alignment horizontal="left" vertical="center" wrapText="1"/>
    </xf>
    <xf numFmtId="164" fontId="2" fillId="9" borderId="2" xfId="0" applyNumberFormat="1" applyFont="1" applyFill="1" applyBorder="1" applyAlignment="1">
      <alignment horizontal="left" vertical="center" wrapText="1"/>
    </xf>
    <xf numFmtId="1" fontId="4" fillId="10" borderId="2" xfId="0" applyNumberFormat="1" applyFont="1" applyFill="1" applyBorder="1" applyAlignment="1">
      <alignment horizontal="left" vertical="center" wrapText="1"/>
    </xf>
    <xf numFmtId="1" fontId="13" fillId="2" borderId="0" xfId="0" applyNumberFormat="1" applyFont="1" applyFill="1" applyAlignment="1">
      <alignment horizontal="center" vertical="center" wrapText="1"/>
    </xf>
    <xf numFmtId="164" fontId="1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8F5E9"/>
      <rgbColor rgb="FF660066"/>
      <rgbColor rgb="FFFF8080"/>
      <rgbColor rgb="FF2B5EA7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9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651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showGridLines="0" tabSelected="1" zoomScaleNormal="100" workbookViewId="0">
      <pane xSplit="2" ySplit="4" topLeftCell="C6" activePane="bottomRight" state="frozen"/>
      <selection pane="topRight" activeCell="C1" sqref="C1"/>
      <selection pane="bottomLeft" activeCell="A5" sqref="A5"/>
      <selection pane="bottomRight" activeCell="E2" sqref="E2:H2"/>
    </sheetView>
  </sheetViews>
  <sheetFormatPr defaultColWidth="8.7109375" defaultRowHeight="15" x14ac:dyDescent="0.25"/>
  <cols>
    <col min="1" max="1" width="18" customWidth="1"/>
    <col min="2" max="2" width="22" customWidth="1"/>
    <col min="3" max="3" width="28" customWidth="1"/>
    <col min="4" max="4" width="22" customWidth="1"/>
    <col min="5" max="5" width="28" customWidth="1"/>
    <col min="6" max="6" width="7" customWidth="1"/>
    <col min="7" max="7" width="32" customWidth="1"/>
    <col min="8" max="8" width="7" customWidth="1"/>
    <col min="9" max="9" width="28" customWidth="1"/>
    <col min="10" max="10" width="7" customWidth="1"/>
    <col min="11" max="11" width="8" customWidth="1"/>
    <col min="12" max="12" width="32" customWidth="1"/>
    <col min="13" max="13" width="18" customWidth="1"/>
    <col min="14" max="14" width="14" customWidth="1"/>
    <col min="15" max="15" width="12" customWidth="1"/>
    <col min="16" max="17" width="6" customWidth="1"/>
    <col min="18" max="18" width="8" customWidth="1"/>
    <col min="19" max="20" width="18" customWidth="1"/>
  </cols>
  <sheetData>
    <row r="1" spans="1:20" ht="30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18" customHeight="1" x14ac:dyDescent="0.25">
      <c r="A2" s="9" t="s">
        <v>1</v>
      </c>
      <c r="B2" s="9"/>
      <c r="C2" s="9"/>
      <c r="D2" s="9"/>
      <c r="E2" s="9" t="s">
        <v>379</v>
      </c>
      <c r="F2" s="9"/>
      <c r="G2" s="9"/>
      <c r="H2" s="9"/>
      <c r="I2" s="9" t="s">
        <v>2</v>
      </c>
      <c r="J2" s="9"/>
      <c r="K2" s="9"/>
      <c r="L2" s="9"/>
      <c r="M2" s="9" t="s">
        <v>3</v>
      </c>
      <c r="N2" s="9"/>
      <c r="O2" s="9"/>
      <c r="P2" s="9"/>
      <c r="Q2" s="9" t="s">
        <v>4</v>
      </c>
      <c r="R2" s="9"/>
      <c r="S2" s="9"/>
      <c r="T2" s="9"/>
    </row>
    <row r="3" spans="1:20" ht="30" customHeight="1" x14ac:dyDescent="0.25">
      <c r="A3" s="8" t="s">
        <v>5</v>
      </c>
      <c r="B3" s="8"/>
      <c r="C3" s="8" t="s">
        <v>6</v>
      </c>
      <c r="D3" s="8"/>
      <c r="E3" s="8" t="s">
        <v>7</v>
      </c>
      <c r="F3" s="8"/>
      <c r="G3" s="8" t="s">
        <v>8</v>
      </c>
      <c r="H3" s="8"/>
      <c r="I3" s="8" t="s">
        <v>9</v>
      </c>
      <c r="J3" s="8"/>
      <c r="K3" s="12" t="s">
        <v>384</v>
      </c>
      <c r="L3" s="7" t="s">
        <v>382</v>
      </c>
      <c r="M3" s="7"/>
      <c r="N3" s="7"/>
      <c r="O3" s="7"/>
      <c r="P3" s="7" t="s">
        <v>383</v>
      </c>
      <c r="Q3" s="7"/>
      <c r="R3" s="13" t="s">
        <v>10</v>
      </c>
      <c r="S3" s="8" t="s">
        <v>11</v>
      </c>
      <c r="T3" s="8"/>
    </row>
    <row r="4" spans="1:20" ht="42" customHeight="1" x14ac:dyDescent="0.25">
      <c r="A4" s="14" t="s">
        <v>319</v>
      </c>
      <c r="B4" s="14" t="s">
        <v>12</v>
      </c>
      <c r="C4" s="14" t="s">
        <v>13</v>
      </c>
      <c r="D4" s="14" t="s">
        <v>14</v>
      </c>
      <c r="E4" s="14" t="s">
        <v>15</v>
      </c>
      <c r="F4" s="14" t="s">
        <v>16</v>
      </c>
      <c r="G4" s="14" t="s">
        <v>17</v>
      </c>
      <c r="H4" s="14" t="s">
        <v>18</v>
      </c>
      <c r="I4" s="14" t="s">
        <v>19</v>
      </c>
      <c r="J4" s="14" t="s">
        <v>20</v>
      </c>
      <c r="K4" s="14" t="s">
        <v>21</v>
      </c>
      <c r="L4" s="14" t="s">
        <v>22</v>
      </c>
      <c r="M4" s="14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4" t="s">
        <v>30</v>
      </c>
    </row>
    <row r="5" spans="1:20" ht="48" customHeight="1" x14ac:dyDescent="0.25">
      <c r="A5" s="15" t="s">
        <v>31</v>
      </c>
      <c r="B5" s="15" t="s">
        <v>32</v>
      </c>
      <c r="C5" s="15" t="s">
        <v>33</v>
      </c>
      <c r="D5" s="15" t="s">
        <v>34</v>
      </c>
      <c r="E5" s="15" t="s">
        <v>35</v>
      </c>
      <c r="F5" s="16">
        <v>9</v>
      </c>
      <c r="G5" s="15" t="s">
        <v>36</v>
      </c>
      <c r="H5" s="16">
        <v>8</v>
      </c>
      <c r="I5" s="15" t="s">
        <v>37</v>
      </c>
      <c r="J5" s="16">
        <v>8</v>
      </c>
      <c r="K5" s="17">
        <f t="shared" ref="K5:K16" si="0">F5*H5*J5</f>
        <v>576</v>
      </c>
      <c r="L5" s="15" t="s">
        <v>38</v>
      </c>
      <c r="M5" s="15" t="s">
        <v>39</v>
      </c>
      <c r="N5" s="15" t="s">
        <v>40</v>
      </c>
      <c r="O5" s="15" t="s">
        <v>41</v>
      </c>
      <c r="P5" s="15">
        <v>3</v>
      </c>
      <c r="Q5" s="15">
        <v>2</v>
      </c>
      <c r="R5" s="18">
        <f t="shared" ref="R5:R16" si="1">P5*Q5*10</f>
        <v>60</v>
      </c>
      <c r="S5" s="15" t="s">
        <v>42</v>
      </c>
      <c r="T5" s="15" t="s">
        <v>43</v>
      </c>
    </row>
    <row r="6" spans="1:20" ht="48" customHeight="1" x14ac:dyDescent="0.25">
      <c r="A6" s="11" t="s">
        <v>31</v>
      </c>
      <c r="B6" s="11" t="s">
        <v>32</v>
      </c>
      <c r="C6" s="11" t="s">
        <v>44</v>
      </c>
      <c r="D6" s="11" t="s">
        <v>45</v>
      </c>
      <c r="E6" s="11" t="s">
        <v>46</v>
      </c>
      <c r="F6" s="16">
        <v>8</v>
      </c>
      <c r="G6" s="11" t="s">
        <v>47</v>
      </c>
      <c r="H6" s="19">
        <v>6</v>
      </c>
      <c r="I6" s="11" t="s">
        <v>48</v>
      </c>
      <c r="J6" s="16">
        <v>7</v>
      </c>
      <c r="K6" s="17">
        <f t="shared" si="0"/>
        <v>336</v>
      </c>
      <c r="L6" s="11" t="s">
        <v>49</v>
      </c>
      <c r="M6" s="11" t="s">
        <v>50</v>
      </c>
      <c r="N6" s="11" t="s">
        <v>51</v>
      </c>
      <c r="O6" s="11" t="s">
        <v>41</v>
      </c>
      <c r="P6" s="11">
        <v>3</v>
      </c>
      <c r="Q6" s="11">
        <v>2</v>
      </c>
      <c r="R6" s="18">
        <f t="shared" si="1"/>
        <v>60</v>
      </c>
      <c r="S6" s="11" t="s">
        <v>52</v>
      </c>
      <c r="T6" s="11" t="s">
        <v>43</v>
      </c>
    </row>
    <row r="7" spans="1:20" ht="48" customHeight="1" x14ac:dyDescent="0.25">
      <c r="A7" s="15" t="s">
        <v>31</v>
      </c>
      <c r="B7" s="15" t="s">
        <v>32</v>
      </c>
      <c r="C7" s="15" t="s">
        <v>53</v>
      </c>
      <c r="D7" s="15" t="s">
        <v>320</v>
      </c>
      <c r="E7" s="15" t="s">
        <v>54</v>
      </c>
      <c r="F7" s="19">
        <v>7</v>
      </c>
      <c r="G7" s="15" t="s">
        <v>55</v>
      </c>
      <c r="H7" s="19">
        <v>5</v>
      </c>
      <c r="I7" s="15" t="s">
        <v>323</v>
      </c>
      <c r="J7" s="19">
        <v>6</v>
      </c>
      <c r="K7" s="17">
        <f t="shared" si="0"/>
        <v>210</v>
      </c>
      <c r="L7" s="15" t="s">
        <v>324</v>
      </c>
      <c r="M7" s="15" t="s">
        <v>56</v>
      </c>
      <c r="N7" s="15" t="s">
        <v>57</v>
      </c>
      <c r="O7" s="15" t="s">
        <v>41</v>
      </c>
      <c r="P7" s="15">
        <v>2</v>
      </c>
      <c r="Q7" s="15">
        <v>2</v>
      </c>
      <c r="R7" s="18">
        <f t="shared" si="1"/>
        <v>40</v>
      </c>
      <c r="S7" s="15" t="s">
        <v>58</v>
      </c>
      <c r="T7" s="15" t="s">
        <v>43</v>
      </c>
    </row>
    <row r="8" spans="1:20" ht="48" customHeight="1" x14ac:dyDescent="0.25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63</v>
      </c>
      <c r="F8" s="16">
        <v>9</v>
      </c>
      <c r="G8" s="11" t="s">
        <v>321</v>
      </c>
      <c r="H8" s="16">
        <v>7</v>
      </c>
      <c r="I8" s="11" t="s">
        <v>322</v>
      </c>
      <c r="J8" s="16">
        <v>8</v>
      </c>
      <c r="K8" s="17">
        <f t="shared" si="0"/>
        <v>504</v>
      </c>
      <c r="L8" s="11" t="s">
        <v>325</v>
      </c>
      <c r="M8" s="11" t="s">
        <v>64</v>
      </c>
      <c r="N8" s="11" t="s">
        <v>65</v>
      </c>
      <c r="O8" s="11" t="s">
        <v>41</v>
      </c>
      <c r="P8" s="11">
        <v>3</v>
      </c>
      <c r="Q8" s="11">
        <v>2</v>
      </c>
      <c r="R8" s="18">
        <f t="shared" si="1"/>
        <v>60</v>
      </c>
      <c r="S8" s="11" t="s">
        <v>66</v>
      </c>
      <c r="T8" s="11" t="s">
        <v>67</v>
      </c>
    </row>
    <row r="9" spans="1:20" ht="48" customHeight="1" x14ac:dyDescent="0.25">
      <c r="A9" s="15" t="s">
        <v>59</v>
      </c>
      <c r="B9" s="15" t="s">
        <v>60</v>
      </c>
      <c r="C9" s="15" t="s">
        <v>68</v>
      </c>
      <c r="D9" s="15" t="s">
        <v>69</v>
      </c>
      <c r="E9" s="15" t="s">
        <v>70</v>
      </c>
      <c r="F9" s="16">
        <v>8</v>
      </c>
      <c r="G9" s="15" t="s">
        <v>332</v>
      </c>
      <c r="H9" s="19">
        <v>5</v>
      </c>
      <c r="I9" s="15" t="s">
        <v>341</v>
      </c>
      <c r="J9" s="19">
        <v>6</v>
      </c>
      <c r="K9" s="17">
        <f t="shared" si="0"/>
        <v>240</v>
      </c>
      <c r="L9" s="15" t="s">
        <v>342</v>
      </c>
      <c r="M9" s="15" t="s">
        <v>71</v>
      </c>
      <c r="N9" s="15" t="s">
        <v>72</v>
      </c>
      <c r="O9" s="15" t="s">
        <v>41</v>
      </c>
      <c r="P9" s="15">
        <v>3</v>
      </c>
      <c r="Q9" s="15">
        <v>2</v>
      </c>
      <c r="R9" s="18">
        <f t="shared" si="1"/>
        <v>60</v>
      </c>
      <c r="S9" s="15" t="s">
        <v>73</v>
      </c>
      <c r="T9" s="15" t="s">
        <v>74</v>
      </c>
    </row>
    <row r="10" spans="1:20" ht="48" customHeight="1" x14ac:dyDescent="0.25">
      <c r="A10" s="11" t="s">
        <v>59</v>
      </c>
      <c r="B10" s="11" t="s">
        <v>75</v>
      </c>
      <c r="C10" s="11" t="s">
        <v>76</v>
      </c>
      <c r="D10" s="11" t="s">
        <v>77</v>
      </c>
      <c r="E10" s="11" t="s">
        <v>78</v>
      </c>
      <c r="F10" s="16">
        <v>8</v>
      </c>
      <c r="G10" s="11" t="s">
        <v>79</v>
      </c>
      <c r="H10" s="19">
        <v>5</v>
      </c>
      <c r="I10" s="11" t="s">
        <v>80</v>
      </c>
      <c r="J10" s="16">
        <v>7</v>
      </c>
      <c r="K10" s="17">
        <f t="shared" si="0"/>
        <v>280</v>
      </c>
      <c r="L10" s="11" t="s">
        <v>343</v>
      </c>
      <c r="M10" s="11" t="s">
        <v>39</v>
      </c>
      <c r="N10" s="11" t="s">
        <v>81</v>
      </c>
      <c r="O10" s="11" t="s">
        <v>41</v>
      </c>
      <c r="P10" s="11">
        <v>3</v>
      </c>
      <c r="Q10" s="11">
        <v>2</v>
      </c>
      <c r="R10" s="18">
        <f t="shared" si="1"/>
        <v>60</v>
      </c>
      <c r="S10" s="11" t="s">
        <v>82</v>
      </c>
      <c r="T10" s="11" t="s">
        <v>83</v>
      </c>
    </row>
    <row r="11" spans="1:20" ht="48" customHeight="1" x14ac:dyDescent="0.25">
      <c r="A11" s="15" t="s">
        <v>84</v>
      </c>
      <c r="B11" s="15" t="s">
        <v>85</v>
      </c>
      <c r="C11" s="15" t="s">
        <v>327</v>
      </c>
      <c r="D11" s="15" t="s">
        <v>328</v>
      </c>
      <c r="E11" s="15" t="s">
        <v>331</v>
      </c>
      <c r="F11" s="16">
        <v>9</v>
      </c>
      <c r="G11" s="15" t="s">
        <v>86</v>
      </c>
      <c r="H11" s="16">
        <v>8</v>
      </c>
      <c r="I11" s="15" t="s">
        <v>340</v>
      </c>
      <c r="J11" s="16">
        <v>8</v>
      </c>
      <c r="K11" s="17">
        <f t="shared" si="0"/>
        <v>576</v>
      </c>
      <c r="L11" s="15" t="s">
        <v>344</v>
      </c>
      <c r="M11" s="15" t="s">
        <v>87</v>
      </c>
      <c r="N11" s="15" t="s">
        <v>88</v>
      </c>
      <c r="O11" s="15" t="s">
        <v>41</v>
      </c>
      <c r="P11" s="15">
        <v>3</v>
      </c>
      <c r="Q11" s="15">
        <v>1</v>
      </c>
      <c r="R11" s="18">
        <f t="shared" si="1"/>
        <v>30</v>
      </c>
      <c r="S11" s="15" t="s">
        <v>89</v>
      </c>
      <c r="T11" s="15" t="s">
        <v>90</v>
      </c>
    </row>
    <row r="12" spans="1:20" ht="48" customHeight="1" x14ac:dyDescent="0.25">
      <c r="A12" s="11" t="s">
        <v>84</v>
      </c>
      <c r="B12" s="11" t="s">
        <v>91</v>
      </c>
      <c r="C12" s="11" t="s">
        <v>92</v>
      </c>
      <c r="D12" s="11" t="s">
        <v>329</v>
      </c>
      <c r="E12" s="11" t="s">
        <v>330</v>
      </c>
      <c r="F12" s="19">
        <v>7</v>
      </c>
      <c r="G12" s="11" t="s">
        <v>333</v>
      </c>
      <c r="H12" s="19">
        <v>6</v>
      </c>
      <c r="I12" s="11" t="s">
        <v>339</v>
      </c>
      <c r="J12" s="16">
        <v>7</v>
      </c>
      <c r="K12" s="17">
        <f t="shared" si="0"/>
        <v>294</v>
      </c>
      <c r="L12" s="11" t="s">
        <v>93</v>
      </c>
      <c r="M12" s="11" t="s">
        <v>94</v>
      </c>
      <c r="N12" s="11" t="s">
        <v>95</v>
      </c>
      <c r="O12" s="11" t="s">
        <v>41</v>
      </c>
      <c r="P12" s="11">
        <v>3</v>
      </c>
      <c r="Q12" s="11">
        <v>2</v>
      </c>
      <c r="R12" s="18">
        <f t="shared" si="1"/>
        <v>60</v>
      </c>
      <c r="S12" s="11" t="s">
        <v>96</v>
      </c>
      <c r="T12" s="11" t="s">
        <v>97</v>
      </c>
    </row>
    <row r="13" spans="1:20" ht="48" customHeight="1" x14ac:dyDescent="0.25">
      <c r="A13" s="15" t="s">
        <v>84</v>
      </c>
      <c r="B13" s="15" t="s">
        <v>98</v>
      </c>
      <c r="C13" s="15" t="s">
        <v>99</v>
      </c>
      <c r="D13" s="15" t="s">
        <v>100</v>
      </c>
      <c r="E13" s="15" t="s">
        <v>101</v>
      </c>
      <c r="F13" s="16">
        <v>9</v>
      </c>
      <c r="G13" s="15" t="s">
        <v>102</v>
      </c>
      <c r="H13" s="19">
        <v>5</v>
      </c>
      <c r="I13" s="15" t="s">
        <v>338</v>
      </c>
      <c r="J13" s="19">
        <v>6</v>
      </c>
      <c r="K13" s="17">
        <f t="shared" si="0"/>
        <v>270</v>
      </c>
      <c r="L13" s="15" t="s">
        <v>103</v>
      </c>
      <c r="M13" s="15" t="s">
        <v>104</v>
      </c>
      <c r="N13" s="15" t="s">
        <v>105</v>
      </c>
      <c r="O13" s="15" t="s">
        <v>41</v>
      </c>
      <c r="P13" s="15">
        <v>3</v>
      </c>
      <c r="Q13" s="15">
        <v>2</v>
      </c>
      <c r="R13" s="18">
        <f t="shared" si="1"/>
        <v>60</v>
      </c>
      <c r="S13" s="15" t="s">
        <v>106</v>
      </c>
      <c r="T13" s="15" t="s">
        <v>107</v>
      </c>
    </row>
    <row r="14" spans="1:20" ht="48" customHeight="1" x14ac:dyDescent="0.25">
      <c r="A14" s="11" t="s">
        <v>108</v>
      </c>
      <c r="B14" s="11" t="s">
        <v>109</v>
      </c>
      <c r="C14" s="11" t="s">
        <v>110</v>
      </c>
      <c r="D14" s="11" t="s">
        <v>111</v>
      </c>
      <c r="E14" s="11" t="s">
        <v>112</v>
      </c>
      <c r="F14" s="16">
        <v>8</v>
      </c>
      <c r="G14" s="11" t="s">
        <v>113</v>
      </c>
      <c r="H14" s="16">
        <v>8</v>
      </c>
      <c r="I14" s="11" t="s">
        <v>337</v>
      </c>
      <c r="J14" s="16">
        <v>8</v>
      </c>
      <c r="K14" s="17">
        <f t="shared" si="0"/>
        <v>512</v>
      </c>
      <c r="L14" s="11" t="s">
        <v>345</v>
      </c>
      <c r="M14" s="11" t="s">
        <v>114</v>
      </c>
      <c r="N14" s="11" t="s">
        <v>81</v>
      </c>
      <c r="O14" s="11" t="s">
        <v>41</v>
      </c>
      <c r="P14" s="11">
        <v>3</v>
      </c>
      <c r="Q14" s="11">
        <v>2</v>
      </c>
      <c r="R14" s="18">
        <f t="shared" si="1"/>
        <v>60</v>
      </c>
      <c r="S14" s="11" t="s">
        <v>115</v>
      </c>
      <c r="T14" s="11" t="s">
        <v>116</v>
      </c>
    </row>
    <row r="15" spans="1:20" ht="48" customHeight="1" x14ac:dyDescent="0.25">
      <c r="A15" s="15" t="s">
        <v>108</v>
      </c>
      <c r="B15" s="15" t="s">
        <v>109</v>
      </c>
      <c r="C15" s="15" t="s">
        <v>326</v>
      </c>
      <c r="D15" s="15" t="s">
        <v>117</v>
      </c>
      <c r="E15" s="15" t="s">
        <v>118</v>
      </c>
      <c r="F15" s="19">
        <v>7</v>
      </c>
      <c r="G15" s="15" t="s">
        <v>334</v>
      </c>
      <c r="H15" s="19">
        <v>5</v>
      </c>
      <c r="I15" s="15" t="s">
        <v>336</v>
      </c>
      <c r="J15" s="19">
        <v>6</v>
      </c>
      <c r="K15" s="17">
        <f t="shared" si="0"/>
        <v>210</v>
      </c>
      <c r="L15" s="15" t="s">
        <v>346</v>
      </c>
      <c r="M15" s="15" t="s">
        <v>94</v>
      </c>
      <c r="N15" s="15" t="s">
        <v>88</v>
      </c>
      <c r="O15" s="15" t="s">
        <v>41</v>
      </c>
      <c r="P15" s="15">
        <v>3</v>
      </c>
      <c r="Q15" s="15">
        <v>2</v>
      </c>
      <c r="R15" s="18">
        <f t="shared" si="1"/>
        <v>60</v>
      </c>
      <c r="S15" s="15" t="s">
        <v>119</v>
      </c>
      <c r="T15" s="15" t="s">
        <v>116</v>
      </c>
    </row>
    <row r="16" spans="1:20" ht="48" customHeight="1" x14ac:dyDescent="0.25">
      <c r="A16" s="11" t="s">
        <v>108</v>
      </c>
      <c r="B16" s="11" t="s">
        <v>120</v>
      </c>
      <c r="C16" s="11" t="s">
        <v>121</v>
      </c>
      <c r="D16" s="11" t="s">
        <v>122</v>
      </c>
      <c r="E16" s="11" t="s">
        <v>123</v>
      </c>
      <c r="F16" s="16">
        <v>8</v>
      </c>
      <c r="G16" s="11" t="s">
        <v>124</v>
      </c>
      <c r="H16" s="19">
        <v>4</v>
      </c>
      <c r="I16" s="11" t="s">
        <v>335</v>
      </c>
      <c r="J16" s="19">
        <v>5</v>
      </c>
      <c r="K16" s="20">
        <f t="shared" si="0"/>
        <v>160</v>
      </c>
      <c r="L16" s="11" t="s">
        <v>125</v>
      </c>
      <c r="M16" s="11" t="s">
        <v>126</v>
      </c>
      <c r="N16" s="11" t="s">
        <v>72</v>
      </c>
      <c r="O16" s="11" t="s">
        <v>41</v>
      </c>
      <c r="P16" s="11">
        <v>3</v>
      </c>
      <c r="Q16" s="11">
        <v>1</v>
      </c>
      <c r="R16" s="18">
        <f t="shared" si="1"/>
        <v>30</v>
      </c>
      <c r="S16" s="11" t="s">
        <v>127</v>
      </c>
      <c r="T16" s="11" t="s">
        <v>128</v>
      </c>
    </row>
    <row r="18" spans="1:20" ht="21.75" customHeight="1" x14ac:dyDescent="0.25">
      <c r="A18" s="6" t="s">
        <v>129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</sheetData>
  <mergeCells count="15">
    <mergeCell ref="L3:O3"/>
    <mergeCell ref="P3:Q3"/>
    <mergeCell ref="S3:T3"/>
    <mergeCell ref="A18:T18"/>
    <mergeCell ref="A3:B3"/>
    <mergeCell ref="C3:D3"/>
    <mergeCell ref="E3:F3"/>
    <mergeCell ref="G3:H3"/>
    <mergeCell ref="I3:J3"/>
    <mergeCell ref="A1:T1"/>
    <mergeCell ref="A2:D2"/>
    <mergeCell ref="E2:H2"/>
    <mergeCell ref="I2:L2"/>
    <mergeCell ref="M2:P2"/>
    <mergeCell ref="Q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2" sqref="D2:F2"/>
    </sheetView>
  </sheetViews>
  <sheetFormatPr defaultColWidth="8.7109375" defaultRowHeight="15" x14ac:dyDescent="0.25"/>
  <cols>
    <col min="1" max="1" width="18" customWidth="1"/>
    <col min="2" max="2" width="20" customWidth="1"/>
    <col min="3" max="3" width="28" customWidth="1"/>
    <col min="4" max="4" width="10" customWidth="1"/>
    <col min="5" max="5" width="16" customWidth="1"/>
    <col min="6" max="6" width="20" customWidth="1"/>
    <col min="7" max="7" width="34" customWidth="1"/>
    <col min="8" max="8" width="28" customWidth="1"/>
    <col min="9" max="9" width="14" customWidth="1"/>
    <col min="10" max="10" width="20" customWidth="1"/>
    <col min="11" max="11" width="14" customWidth="1"/>
    <col min="12" max="12" width="34" customWidth="1"/>
    <col min="13" max="13" width="32" customWidth="1"/>
    <col min="14" max="14" width="20" customWidth="1"/>
    <col min="15" max="15" width="22" customWidth="1"/>
    <col min="16" max="16" width="18" customWidth="1"/>
    <col min="17" max="17" width="28" customWidth="1"/>
    <col min="18" max="18" width="12" customWidth="1"/>
  </cols>
  <sheetData>
    <row r="1" spans="1:18" ht="30" customHeight="1" x14ac:dyDescent="0.25">
      <c r="A1" s="5" t="s">
        <v>130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8" customHeight="1" x14ac:dyDescent="0.25">
      <c r="A2" s="4" t="s">
        <v>1</v>
      </c>
      <c r="B2" s="4"/>
      <c r="C2" s="4"/>
      <c r="D2" s="4" t="s">
        <v>379</v>
      </c>
      <c r="E2" s="4"/>
      <c r="F2" s="4"/>
      <c r="G2" s="4" t="s">
        <v>131</v>
      </c>
      <c r="H2" s="4"/>
      <c r="I2" s="4"/>
      <c r="J2" s="4" t="s">
        <v>132</v>
      </c>
      <c r="K2" s="4"/>
      <c r="L2" s="4"/>
      <c r="M2" s="4" t="s">
        <v>133</v>
      </c>
      <c r="N2" s="4"/>
      <c r="O2" s="4"/>
      <c r="P2" s="4" t="s">
        <v>134</v>
      </c>
      <c r="Q2" s="4"/>
      <c r="R2" s="4"/>
    </row>
    <row r="3" spans="1:18" ht="36" customHeight="1" x14ac:dyDescent="0.25">
      <c r="A3" s="7" t="s">
        <v>376</v>
      </c>
      <c r="B3" s="7"/>
      <c r="C3" s="7" t="s">
        <v>135</v>
      </c>
      <c r="D3" s="7"/>
      <c r="E3" s="7" t="s">
        <v>136</v>
      </c>
      <c r="F3" s="7"/>
      <c r="G3" s="7" t="s">
        <v>375</v>
      </c>
      <c r="H3" s="7"/>
      <c r="I3" s="7"/>
      <c r="J3" s="7" t="s">
        <v>137</v>
      </c>
      <c r="K3" s="7"/>
      <c r="L3" s="7" t="s">
        <v>374</v>
      </c>
      <c r="M3" s="7"/>
      <c r="N3" s="7" t="s">
        <v>138</v>
      </c>
      <c r="O3" s="7"/>
      <c r="P3" s="7" t="s">
        <v>139</v>
      </c>
      <c r="Q3" s="7"/>
      <c r="R3" s="13" t="s">
        <v>140</v>
      </c>
    </row>
    <row r="4" spans="1:18" ht="48" customHeight="1" x14ac:dyDescent="0.25">
      <c r="A4" s="21" t="s">
        <v>372</v>
      </c>
      <c r="B4" s="21" t="s">
        <v>141</v>
      </c>
      <c r="C4" s="21" t="s">
        <v>142</v>
      </c>
      <c r="D4" s="21" t="s">
        <v>143</v>
      </c>
      <c r="E4" s="21" t="s">
        <v>377</v>
      </c>
      <c r="F4" s="21" t="s">
        <v>144</v>
      </c>
      <c r="G4" s="21" t="s">
        <v>378</v>
      </c>
      <c r="H4" s="21" t="s">
        <v>145</v>
      </c>
      <c r="I4" s="21" t="s">
        <v>146</v>
      </c>
      <c r="J4" s="21" t="s">
        <v>147</v>
      </c>
      <c r="K4" s="21" t="s">
        <v>148</v>
      </c>
      <c r="L4" s="21" t="s">
        <v>149</v>
      </c>
      <c r="M4" s="21" t="s">
        <v>371</v>
      </c>
      <c r="N4" s="21" t="s">
        <v>23</v>
      </c>
      <c r="O4" s="21" t="s">
        <v>150</v>
      </c>
      <c r="P4" s="21" t="s">
        <v>151</v>
      </c>
      <c r="Q4" s="21" t="s">
        <v>152</v>
      </c>
      <c r="R4" s="21" t="s">
        <v>153</v>
      </c>
    </row>
    <row r="5" spans="1:18" ht="51.75" customHeight="1" x14ac:dyDescent="0.25">
      <c r="A5" s="22" t="s">
        <v>31</v>
      </c>
      <c r="B5" s="22" t="s">
        <v>32</v>
      </c>
      <c r="C5" s="22" t="s">
        <v>154</v>
      </c>
      <c r="D5" s="23" t="s">
        <v>155</v>
      </c>
      <c r="E5" s="22" t="s">
        <v>156</v>
      </c>
      <c r="F5" s="22" t="s">
        <v>157</v>
      </c>
      <c r="G5" s="22" t="s">
        <v>354</v>
      </c>
      <c r="H5" s="22" t="s">
        <v>158</v>
      </c>
      <c r="I5" s="22" t="s">
        <v>159</v>
      </c>
      <c r="J5" s="22" t="s">
        <v>160</v>
      </c>
      <c r="K5" s="22" t="s">
        <v>161</v>
      </c>
      <c r="L5" s="22" t="s">
        <v>355</v>
      </c>
      <c r="M5" s="22" t="s">
        <v>370</v>
      </c>
      <c r="N5" s="22" t="s">
        <v>162</v>
      </c>
      <c r="O5" s="22" t="s">
        <v>163</v>
      </c>
      <c r="P5" s="22" t="s">
        <v>164</v>
      </c>
      <c r="Q5" s="22" t="s">
        <v>165</v>
      </c>
      <c r="R5" s="24" t="s">
        <v>166</v>
      </c>
    </row>
    <row r="6" spans="1:18" ht="51.75" customHeight="1" x14ac:dyDescent="0.25">
      <c r="A6" s="15" t="s">
        <v>31</v>
      </c>
      <c r="B6" s="15" t="s">
        <v>32</v>
      </c>
      <c r="C6" s="15" t="s">
        <v>167</v>
      </c>
      <c r="D6" s="23" t="s">
        <v>155</v>
      </c>
      <c r="E6" s="15" t="s">
        <v>168</v>
      </c>
      <c r="F6" s="15" t="s">
        <v>169</v>
      </c>
      <c r="G6" s="15" t="s">
        <v>170</v>
      </c>
      <c r="H6" s="15" t="s">
        <v>171</v>
      </c>
      <c r="I6" s="15" t="s">
        <v>159</v>
      </c>
      <c r="J6" s="15" t="s">
        <v>160</v>
      </c>
      <c r="K6" s="15" t="s">
        <v>161</v>
      </c>
      <c r="L6" s="15" t="s">
        <v>172</v>
      </c>
      <c r="M6" s="15" t="s">
        <v>369</v>
      </c>
      <c r="N6" s="15" t="s">
        <v>162</v>
      </c>
      <c r="O6" s="15" t="s">
        <v>173</v>
      </c>
      <c r="P6" s="15" t="s">
        <v>164</v>
      </c>
      <c r="Q6" s="15" t="s">
        <v>174</v>
      </c>
      <c r="R6" s="24" t="s">
        <v>166</v>
      </c>
    </row>
    <row r="7" spans="1:18" ht="51.75" customHeight="1" x14ac:dyDescent="0.25">
      <c r="A7" s="22" t="s">
        <v>31</v>
      </c>
      <c r="B7" s="22" t="s">
        <v>175</v>
      </c>
      <c r="C7" s="22" t="s">
        <v>176</v>
      </c>
      <c r="D7" s="23" t="s">
        <v>155</v>
      </c>
      <c r="E7" s="22" t="s">
        <v>177</v>
      </c>
      <c r="F7" s="22" t="s">
        <v>178</v>
      </c>
      <c r="G7" s="22" t="s">
        <v>179</v>
      </c>
      <c r="H7" s="22" t="s">
        <v>180</v>
      </c>
      <c r="I7" s="22" t="s">
        <v>181</v>
      </c>
      <c r="J7" s="22" t="s">
        <v>182</v>
      </c>
      <c r="K7" s="22" t="s">
        <v>161</v>
      </c>
      <c r="L7" s="22" t="s">
        <v>183</v>
      </c>
      <c r="M7" s="22" t="s">
        <v>368</v>
      </c>
      <c r="N7" s="22" t="s">
        <v>184</v>
      </c>
      <c r="O7" s="22" t="s">
        <v>185</v>
      </c>
      <c r="P7" s="22" t="s">
        <v>186</v>
      </c>
      <c r="Q7" s="22" t="s">
        <v>165</v>
      </c>
      <c r="R7" s="24" t="s">
        <v>166</v>
      </c>
    </row>
    <row r="8" spans="1:18" ht="51.75" customHeight="1" x14ac:dyDescent="0.25">
      <c r="A8" s="15" t="s">
        <v>31</v>
      </c>
      <c r="B8" s="15" t="s">
        <v>32</v>
      </c>
      <c r="C8" s="15" t="s">
        <v>187</v>
      </c>
      <c r="D8" s="25" t="s">
        <v>188</v>
      </c>
      <c r="E8" s="15" t="s">
        <v>189</v>
      </c>
      <c r="F8" s="15" t="s">
        <v>190</v>
      </c>
      <c r="G8" s="15" t="s">
        <v>353</v>
      </c>
      <c r="H8" s="15" t="s">
        <v>352</v>
      </c>
      <c r="I8" s="15" t="s">
        <v>191</v>
      </c>
      <c r="J8" s="15" t="s">
        <v>192</v>
      </c>
      <c r="K8" s="15" t="s">
        <v>193</v>
      </c>
      <c r="L8" s="15" t="s">
        <v>356</v>
      </c>
      <c r="M8" s="15" t="s">
        <v>367</v>
      </c>
      <c r="N8" s="15" t="s">
        <v>194</v>
      </c>
      <c r="O8" s="15" t="s">
        <v>195</v>
      </c>
      <c r="P8" s="15" t="s">
        <v>196</v>
      </c>
      <c r="Q8" s="15" t="s">
        <v>197</v>
      </c>
      <c r="R8" s="24" t="s">
        <v>166</v>
      </c>
    </row>
    <row r="9" spans="1:18" ht="51.75" customHeight="1" x14ac:dyDescent="0.25">
      <c r="A9" s="22" t="s">
        <v>59</v>
      </c>
      <c r="B9" s="22" t="s">
        <v>198</v>
      </c>
      <c r="C9" s="22" t="s">
        <v>199</v>
      </c>
      <c r="D9" s="23" t="s">
        <v>155</v>
      </c>
      <c r="E9" s="22" t="s">
        <v>200</v>
      </c>
      <c r="F9" s="22" t="s">
        <v>201</v>
      </c>
      <c r="G9" s="22" t="s">
        <v>202</v>
      </c>
      <c r="H9" s="22" t="s">
        <v>203</v>
      </c>
      <c r="I9" s="22" t="s">
        <v>204</v>
      </c>
      <c r="J9" s="22" t="s">
        <v>205</v>
      </c>
      <c r="K9" s="22" t="s">
        <v>161</v>
      </c>
      <c r="L9" s="22" t="s">
        <v>357</v>
      </c>
      <c r="M9" s="22" t="s">
        <v>206</v>
      </c>
      <c r="N9" s="22" t="s">
        <v>207</v>
      </c>
      <c r="O9" s="22" t="s">
        <v>208</v>
      </c>
      <c r="P9" s="22" t="s">
        <v>209</v>
      </c>
      <c r="Q9" s="22" t="s">
        <v>210</v>
      </c>
      <c r="R9" s="24" t="s">
        <v>166</v>
      </c>
    </row>
    <row r="10" spans="1:18" ht="51.75" customHeight="1" x14ac:dyDescent="0.25">
      <c r="A10" s="15" t="s">
        <v>59</v>
      </c>
      <c r="B10" s="15" t="s">
        <v>198</v>
      </c>
      <c r="C10" s="15" t="s">
        <v>211</v>
      </c>
      <c r="D10" s="23" t="s">
        <v>155</v>
      </c>
      <c r="E10" s="15" t="s">
        <v>212</v>
      </c>
      <c r="F10" s="15" t="s">
        <v>213</v>
      </c>
      <c r="G10" s="15" t="s">
        <v>350</v>
      </c>
      <c r="H10" s="15" t="s">
        <v>351</v>
      </c>
      <c r="I10" s="15" t="s">
        <v>214</v>
      </c>
      <c r="J10" s="15" t="s">
        <v>358</v>
      </c>
      <c r="K10" s="15" t="s">
        <v>360</v>
      </c>
      <c r="L10" s="15" t="s">
        <v>359</v>
      </c>
      <c r="M10" s="15" t="s">
        <v>215</v>
      </c>
      <c r="N10" s="15" t="s">
        <v>216</v>
      </c>
      <c r="O10" s="15" t="s">
        <v>217</v>
      </c>
      <c r="P10" s="15" t="s">
        <v>209</v>
      </c>
      <c r="Q10" s="15" t="s">
        <v>218</v>
      </c>
      <c r="R10" s="24" t="s">
        <v>166</v>
      </c>
    </row>
    <row r="11" spans="1:18" ht="51.75" customHeight="1" x14ac:dyDescent="0.25">
      <c r="A11" s="22" t="s">
        <v>59</v>
      </c>
      <c r="B11" s="22" t="s">
        <v>219</v>
      </c>
      <c r="C11" s="22" t="s">
        <v>220</v>
      </c>
      <c r="D11" s="25" t="s">
        <v>188</v>
      </c>
      <c r="E11" s="22" t="s">
        <v>221</v>
      </c>
      <c r="F11" s="22" t="s">
        <v>222</v>
      </c>
      <c r="G11" s="22" t="s">
        <v>223</v>
      </c>
      <c r="H11" s="22" t="s">
        <v>224</v>
      </c>
      <c r="I11" s="22" t="s">
        <v>225</v>
      </c>
      <c r="J11" s="22" t="s">
        <v>226</v>
      </c>
      <c r="K11" s="22" t="s">
        <v>227</v>
      </c>
      <c r="L11" s="22" t="s">
        <v>228</v>
      </c>
      <c r="M11" s="22" t="s">
        <v>229</v>
      </c>
      <c r="N11" s="22" t="s">
        <v>184</v>
      </c>
      <c r="O11" s="22" t="s">
        <v>230</v>
      </c>
      <c r="P11" s="22" t="s">
        <v>231</v>
      </c>
      <c r="Q11" s="22" t="s">
        <v>232</v>
      </c>
      <c r="R11" s="24" t="s">
        <v>166</v>
      </c>
    </row>
    <row r="12" spans="1:18" ht="51.75" customHeight="1" x14ac:dyDescent="0.25">
      <c r="A12" s="15" t="s">
        <v>84</v>
      </c>
      <c r="B12" s="15" t="s">
        <v>85</v>
      </c>
      <c r="C12" s="15" t="s">
        <v>233</v>
      </c>
      <c r="D12" s="23" t="s">
        <v>155</v>
      </c>
      <c r="E12" s="15" t="s">
        <v>234</v>
      </c>
      <c r="F12" s="15" t="s">
        <v>235</v>
      </c>
      <c r="G12" s="15" t="s">
        <v>349</v>
      </c>
      <c r="H12" s="15" t="s">
        <v>236</v>
      </c>
      <c r="I12" s="15" t="s">
        <v>237</v>
      </c>
      <c r="J12" s="15" t="s">
        <v>205</v>
      </c>
      <c r="K12" s="15" t="s">
        <v>161</v>
      </c>
      <c r="L12" s="15" t="s">
        <v>238</v>
      </c>
      <c r="M12" s="15" t="s">
        <v>239</v>
      </c>
      <c r="N12" s="15" t="s">
        <v>240</v>
      </c>
      <c r="O12" s="15" t="s">
        <v>241</v>
      </c>
      <c r="P12" s="15" t="s">
        <v>242</v>
      </c>
      <c r="Q12" s="15" t="s">
        <v>373</v>
      </c>
      <c r="R12" s="24" t="s">
        <v>166</v>
      </c>
    </row>
    <row r="13" spans="1:18" ht="51.75" customHeight="1" x14ac:dyDescent="0.25">
      <c r="A13" s="22" t="s">
        <v>84</v>
      </c>
      <c r="B13" s="22" t="s">
        <v>91</v>
      </c>
      <c r="C13" s="22" t="s">
        <v>243</v>
      </c>
      <c r="D13" s="23" t="s">
        <v>155</v>
      </c>
      <c r="E13" s="22" t="s">
        <v>244</v>
      </c>
      <c r="F13" s="22" t="s">
        <v>245</v>
      </c>
      <c r="G13" s="22" t="s">
        <v>246</v>
      </c>
      <c r="H13" s="22" t="s">
        <v>247</v>
      </c>
      <c r="I13" s="22" t="s">
        <v>159</v>
      </c>
      <c r="J13" s="22" t="s">
        <v>248</v>
      </c>
      <c r="K13" s="22" t="s">
        <v>249</v>
      </c>
      <c r="L13" s="22" t="s">
        <v>250</v>
      </c>
      <c r="M13" s="22" t="s">
        <v>251</v>
      </c>
      <c r="N13" s="22" t="s">
        <v>252</v>
      </c>
      <c r="O13" s="22" t="s">
        <v>253</v>
      </c>
      <c r="P13" s="22" t="s">
        <v>254</v>
      </c>
      <c r="Q13" s="22" t="s">
        <v>255</v>
      </c>
      <c r="R13" s="24" t="s">
        <v>166</v>
      </c>
    </row>
    <row r="14" spans="1:18" ht="51.75" customHeight="1" x14ac:dyDescent="0.25">
      <c r="A14" s="15" t="s">
        <v>84</v>
      </c>
      <c r="B14" s="15" t="s">
        <v>256</v>
      </c>
      <c r="C14" s="15" t="s">
        <v>257</v>
      </c>
      <c r="D14" s="23" t="s">
        <v>155</v>
      </c>
      <c r="E14" s="15" t="s">
        <v>258</v>
      </c>
      <c r="F14" s="15" t="s">
        <v>259</v>
      </c>
      <c r="G14" s="15" t="s">
        <v>348</v>
      </c>
      <c r="H14" s="15" t="s">
        <v>260</v>
      </c>
      <c r="I14" s="15" t="s">
        <v>261</v>
      </c>
      <c r="J14" s="15" t="s">
        <v>361</v>
      </c>
      <c r="K14" s="15" t="s">
        <v>262</v>
      </c>
      <c r="L14" s="15" t="s">
        <v>362</v>
      </c>
      <c r="M14" s="15" t="s">
        <v>263</v>
      </c>
      <c r="N14" s="15" t="s">
        <v>264</v>
      </c>
      <c r="O14" s="15" t="s">
        <v>265</v>
      </c>
      <c r="P14" s="15" t="s">
        <v>266</v>
      </c>
      <c r="Q14" s="15" t="s">
        <v>267</v>
      </c>
      <c r="R14" s="24" t="s">
        <v>166</v>
      </c>
    </row>
    <row r="15" spans="1:18" ht="51.75" customHeight="1" x14ac:dyDescent="0.25">
      <c r="A15" s="22" t="s">
        <v>108</v>
      </c>
      <c r="B15" s="22" t="s">
        <v>109</v>
      </c>
      <c r="C15" s="22" t="s">
        <v>268</v>
      </c>
      <c r="D15" s="23" t="s">
        <v>155</v>
      </c>
      <c r="E15" s="22" t="s">
        <v>269</v>
      </c>
      <c r="F15" s="22" t="s">
        <v>270</v>
      </c>
      <c r="G15" s="22" t="s">
        <v>347</v>
      </c>
      <c r="H15" s="22" t="s">
        <v>271</v>
      </c>
      <c r="I15" s="22" t="s">
        <v>204</v>
      </c>
      <c r="J15" s="22" t="s">
        <v>272</v>
      </c>
      <c r="K15" s="22" t="s">
        <v>273</v>
      </c>
      <c r="L15" s="22" t="s">
        <v>363</v>
      </c>
      <c r="M15" s="22" t="s">
        <v>274</v>
      </c>
      <c r="N15" s="22" t="s">
        <v>275</v>
      </c>
      <c r="O15" s="22" t="s">
        <v>276</v>
      </c>
      <c r="P15" s="22" t="s">
        <v>277</v>
      </c>
      <c r="Q15" s="22" t="s">
        <v>278</v>
      </c>
      <c r="R15" s="24" t="s">
        <v>166</v>
      </c>
    </row>
    <row r="16" spans="1:18" ht="51.75" customHeight="1" x14ac:dyDescent="0.25">
      <c r="A16" s="15" t="s">
        <v>108</v>
      </c>
      <c r="B16" s="15" t="s">
        <v>109</v>
      </c>
      <c r="C16" s="15" t="s">
        <v>279</v>
      </c>
      <c r="D16" s="25" t="s">
        <v>188</v>
      </c>
      <c r="E16" s="15" t="s">
        <v>280</v>
      </c>
      <c r="F16" s="15" t="s">
        <v>281</v>
      </c>
      <c r="G16" s="15" t="s">
        <v>282</v>
      </c>
      <c r="H16" s="15" t="s">
        <v>283</v>
      </c>
      <c r="I16" s="15" t="s">
        <v>159</v>
      </c>
      <c r="J16" s="15" t="s">
        <v>192</v>
      </c>
      <c r="K16" s="15" t="s">
        <v>193</v>
      </c>
      <c r="L16" s="15" t="s">
        <v>364</v>
      </c>
      <c r="M16" s="15" t="s">
        <v>284</v>
      </c>
      <c r="N16" s="15" t="s">
        <v>252</v>
      </c>
      <c r="O16" s="15" t="s">
        <v>285</v>
      </c>
      <c r="P16" s="15" t="s">
        <v>286</v>
      </c>
      <c r="Q16" s="15" t="s">
        <v>287</v>
      </c>
      <c r="R16" s="24" t="s">
        <v>166</v>
      </c>
    </row>
    <row r="17" spans="1:18" ht="51.75" customHeight="1" x14ac:dyDescent="0.25">
      <c r="A17" s="22" t="s">
        <v>108</v>
      </c>
      <c r="B17" s="22" t="s">
        <v>120</v>
      </c>
      <c r="C17" s="22" t="s">
        <v>288</v>
      </c>
      <c r="D17" s="23" t="s">
        <v>155</v>
      </c>
      <c r="E17" s="22" t="s">
        <v>289</v>
      </c>
      <c r="F17" s="22" t="s">
        <v>290</v>
      </c>
      <c r="G17" s="22" t="s">
        <v>291</v>
      </c>
      <c r="H17" s="22" t="s">
        <v>292</v>
      </c>
      <c r="I17" s="22" t="s">
        <v>261</v>
      </c>
      <c r="J17" s="22" t="s">
        <v>205</v>
      </c>
      <c r="K17" s="22" t="s">
        <v>161</v>
      </c>
      <c r="L17" s="22" t="s">
        <v>365</v>
      </c>
      <c r="M17" s="22" t="s">
        <v>293</v>
      </c>
      <c r="N17" s="22" t="s">
        <v>366</v>
      </c>
      <c r="O17" s="22" t="s">
        <v>294</v>
      </c>
      <c r="P17" s="22" t="s">
        <v>295</v>
      </c>
      <c r="Q17" s="22" t="s">
        <v>296</v>
      </c>
      <c r="R17" s="24" t="s">
        <v>166</v>
      </c>
    </row>
    <row r="19" spans="1:18" ht="21.75" customHeight="1" x14ac:dyDescent="0.25">
      <c r="A19" s="3" t="s">
        <v>297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</sheetData>
  <mergeCells count="16">
    <mergeCell ref="L3:M3"/>
    <mergeCell ref="N3:O3"/>
    <mergeCell ref="P3:Q3"/>
    <mergeCell ref="A19:R19"/>
    <mergeCell ref="A3:B3"/>
    <mergeCell ref="C3:D3"/>
    <mergeCell ref="E3:F3"/>
    <mergeCell ref="G3:I3"/>
    <mergeCell ref="J3:K3"/>
    <mergeCell ref="A1:R1"/>
    <mergeCell ref="A2:C2"/>
    <mergeCell ref="D2:F2"/>
    <mergeCell ref="G2:I2"/>
    <mergeCell ref="J2:L2"/>
    <mergeCell ref="M2:O2"/>
    <mergeCell ref="P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zoomScaleNormal="100" workbookViewId="0">
      <pane ySplit="2" topLeftCell="A3" activePane="bottomLeft" state="frozen"/>
      <selection pane="bottomLeft" activeCell="A15" sqref="A15:E15"/>
    </sheetView>
  </sheetViews>
  <sheetFormatPr defaultColWidth="8.7109375" defaultRowHeight="15" x14ac:dyDescent="0.25"/>
  <cols>
    <col min="1" max="1" width="28" customWidth="1"/>
    <col min="2" max="2" width="36" customWidth="1"/>
    <col min="3" max="5" width="6" customWidth="1"/>
    <col min="6" max="7" width="12" customWidth="1"/>
    <col min="8" max="8" width="14" customWidth="1"/>
  </cols>
  <sheetData>
    <row r="1" spans="1:8" ht="27.75" customHeight="1" x14ac:dyDescent="0.25">
      <c r="A1" s="2" t="s">
        <v>298</v>
      </c>
      <c r="B1" s="2"/>
      <c r="C1" s="2"/>
      <c r="D1" s="2"/>
      <c r="E1" s="2"/>
      <c r="F1" s="2"/>
      <c r="G1" s="2"/>
      <c r="H1" s="2"/>
    </row>
    <row r="2" spans="1:8" ht="30" customHeight="1" x14ac:dyDescent="0.25">
      <c r="A2" s="26" t="s">
        <v>299</v>
      </c>
      <c r="B2" s="26" t="s">
        <v>13</v>
      </c>
      <c r="C2" s="26" t="s">
        <v>300</v>
      </c>
      <c r="D2" s="26" t="s">
        <v>301</v>
      </c>
      <c r="E2" s="26" t="s">
        <v>302</v>
      </c>
      <c r="F2" s="26" t="s">
        <v>303</v>
      </c>
      <c r="G2" s="26" t="s">
        <v>304</v>
      </c>
      <c r="H2" s="26" t="s">
        <v>305</v>
      </c>
    </row>
    <row r="3" spans="1:8" ht="30" customHeight="1" x14ac:dyDescent="0.25">
      <c r="A3" s="11" t="s">
        <v>306</v>
      </c>
      <c r="B3" s="11" t="s">
        <v>307</v>
      </c>
      <c r="C3" s="11">
        <v>9</v>
      </c>
      <c r="D3" s="11">
        <v>8</v>
      </c>
      <c r="E3" s="11">
        <v>8</v>
      </c>
      <c r="F3" s="27">
        <f t="shared" ref="F3:F14" si="0">C3*D3*E3</f>
        <v>576</v>
      </c>
      <c r="G3" s="18">
        <v>24</v>
      </c>
      <c r="H3" s="28">
        <f t="shared" ref="H3:H14" si="1">(F3-G3)/F3</f>
        <v>0.95833333333333337</v>
      </c>
    </row>
    <row r="4" spans="1:8" ht="30" customHeight="1" x14ac:dyDescent="0.25">
      <c r="A4" s="15" t="s">
        <v>306</v>
      </c>
      <c r="B4" s="15" t="s">
        <v>308</v>
      </c>
      <c r="C4" s="15">
        <v>8</v>
      </c>
      <c r="D4" s="15">
        <v>6</v>
      </c>
      <c r="E4" s="15">
        <v>7</v>
      </c>
      <c r="F4" s="27">
        <f t="shared" si="0"/>
        <v>336</v>
      </c>
      <c r="G4" s="18">
        <v>60</v>
      </c>
      <c r="H4" s="28">
        <f t="shared" si="1"/>
        <v>0.8214285714285714</v>
      </c>
    </row>
    <row r="5" spans="1:8" ht="30" customHeight="1" x14ac:dyDescent="0.25">
      <c r="A5" s="11" t="s">
        <v>306</v>
      </c>
      <c r="B5" s="11" t="s">
        <v>309</v>
      </c>
      <c r="C5" s="11">
        <v>7</v>
      </c>
      <c r="D5" s="11">
        <v>5</v>
      </c>
      <c r="E5" s="11">
        <v>6</v>
      </c>
      <c r="F5" s="27">
        <f t="shared" si="0"/>
        <v>210</v>
      </c>
      <c r="G5" s="18">
        <v>40</v>
      </c>
      <c r="H5" s="28">
        <f t="shared" si="1"/>
        <v>0.80952380952380953</v>
      </c>
    </row>
    <row r="6" spans="1:8" ht="30" customHeight="1" x14ac:dyDescent="0.25">
      <c r="A6" s="15" t="s">
        <v>310</v>
      </c>
      <c r="B6" s="15" t="s">
        <v>210</v>
      </c>
      <c r="C6" s="15">
        <v>9</v>
      </c>
      <c r="D6" s="15">
        <v>7</v>
      </c>
      <c r="E6" s="15">
        <v>8</v>
      </c>
      <c r="F6" s="27">
        <f t="shared" si="0"/>
        <v>504</v>
      </c>
      <c r="G6" s="18">
        <v>18</v>
      </c>
      <c r="H6" s="28">
        <f t="shared" si="1"/>
        <v>0.9642857142857143</v>
      </c>
    </row>
    <row r="7" spans="1:8" ht="30" customHeight="1" x14ac:dyDescent="0.25">
      <c r="A7" s="11" t="s">
        <v>310</v>
      </c>
      <c r="B7" s="11" t="s">
        <v>311</v>
      </c>
      <c r="C7" s="11">
        <v>8</v>
      </c>
      <c r="D7" s="11">
        <v>5</v>
      </c>
      <c r="E7" s="11">
        <v>6</v>
      </c>
      <c r="F7" s="27">
        <f t="shared" si="0"/>
        <v>240</v>
      </c>
      <c r="G7" s="18">
        <v>60</v>
      </c>
      <c r="H7" s="28">
        <f t="shared" si="1"/>
        <v>0.75</v>
      </c>
    </row>
    <row r="8" spans="1:8" ht="30" customHeight="1" x14ac:dyDescent="0.25">
      <c r="A8" s="15" t="s">
        <v>310</v>
      </c>
      <c r="B8" s="15" t="s">
        <v>232</v>
      </c>
      <c r="C8" s="15">
        <v>8</v>
      </c>
      <c r="D8" s="15">
        <v>5</v>
      </c>
      <c r="E8" s="15">
        <v>7</v>
      </c>
      <c r="F8" s="27">
        <f t="shared" si="0"/>
        <v>280</v>
      </c>
      <c r="G8" s="18">
        <v>60</v>
      </c>
      <c r="H8" s="28">
        <f t="shared" si="1"/>
        <v>0.7857142857142857</v>
      </c>
    </row>
    <row r="9" spans="1:8" ht="30" customHeight="1" x14ac:dyDescent="0.25">
      <c r="A9" s="11" t="s">
        <v>312</v>
      </c>
      <c r="B9" s="11" t="s">
        <v>380</v>
      </c>
      <c r="C9" s="11">
        <v>9</v>
      </c>
      <c r="D9" s="11">
        <v>8</v>
      </c>
      <c r="E9" s="11">
        <v>8</v>
      </c>
      <c r="F9" s="27">
        <f t="shared" si="0"/>
        <v>576</v>
      </c>
      <c r="G9" s="18">
        <v>27</v>
      </c>
      <c r="H9" s="28">
        <f t="shared" si="1"/>
        <v>0.953125</v>
      </c>
    </row>
    <row r="10" spans="1:8" ht="30" customHeight="1" x14ac:dyDescent="0.25">
      <c r="A10" s="15" t="s">
        <v>312</v>
      </c>
      <c r="B10" s="15" t="s">
        <v>313</v>
      </c>
      <c r="C10" s="15">
        <v>7</v>
      </c>
      <c r="D10" s="15">
        <v>6</v>
      </c>
      <c r="E10" s="15">
        <v>7</v>
      </c>
      <c r="F10" s="27">
        <f t="shared" si="0"/>
        <v>294</v>
      </c>
      <c r="G10" s="18">
        <v>42</v>
      </c>
      <c r="H10" s="28">
        <f t="shared" si="1"/>
        <v>0.8571428571428571</v>
      </c>
    </row>
    <row r="11" spans="1:8" ht="30" customHeight="1" x14ac:dyDescent="0.25">
      <c r="A11" s="11" t="s">
        <v>312</v>
      </c>
      <c r="B11" s="11" t="s">
        <v>314</v>
      </c>
      <c r="C11" s="11">
        <v>9</v>
      </c>
      <c r="D11" s="11">
        <v>5</v>
      </c>
      <c r="E11" s="11">
        <v>6</v>
      </c>
      <c r="F11" s="27">
        <f t="shared" si="0"/>
        <v>270</v>
      </c>
      <c r="G11" s="18">
        <v>54</v>
      </c>
      <c r="H11" s="28">
        <f t="shared" si="1"/>
        <v>0.8</v>
      </c>
    </row>
    <row r="12" spans="1:8" ht="30" customHeight="1" x14ac:dyDescent="0.25">
      <c r="A12" s="15" t="s">
        <v>315</v>
      </c>
      <c r="B12" s="15" t="s">
        <v>316</v>
      </c>
      <c r="C12" s="15">
        <v>8</v>
      </c>
      <c r="D12" s="15">
        <v>8</v>
      </c>
      <c r="E12" s="15">
        <v>8</v>
      </c>
      <c r="F12" s="27">
        <f t="shared" si="0"/>
        <v>512</v>
      </c>
      <c r="G12" s="18">
        <v>18</v>
      </c>
      <c r="H12" s="28">
        <f t="shared" si="1"/>
        <v>0.96484375</v>
      </c>
    </row>
    <row r="13" spans="1:8" ht="30" customHeight="1" x14ac:dyDescent="0.25">
      <c r="A13" s="11" t="s">
        <v>315</v>
      </c>
      <c r="B13" s="11" t="s">
        <v>317</v>
      </c>
      <c r="C13" s="11">
        <v>7</v>
      </c>
      <c r="D13" s="11">
        <v>5</v>
      </c>
      <c r="E13" s="11">
        <v>6</v>
      </c>
      <c r="F13" s="27">
        <f t="shared" si="0"/>
        <v>210</v>
      </c>
      <c r="G13" s="18">
        <v>42</v>
      </c>
      <c r="H13" s="28">
        <f t="shared" si="1"/>
        <v>0.8</v>
      </c>
    </row>
    <row r="14" spans="1:8" ht="30" customHeight="1" x14ac:dyDescent="0.25">
      <c r="A14" s="15" t="s">
        <v>315</v>
      </c>
      <c r="B14" s="15" t="s">
        <v>318</v>
      </c>
      <c r="C14" s="15">
        <v>8</v>
      </c>
      <c r="D14" s="15">
        <v>4</v>
      </c>
      <c r="E14" s="15">
        <v>5</v>
      </c>
      <c r="F14" s="29">
        <f t="shared" si="0"/>
        <v>160</v>
      </c>
      <c r="G14" s="18">
        <v>24</v>
      </c>
      <c r="H14" s="28">
        <f t="shared" si="1"/>
        <v>0.85</v>
      </c>
    </row>
    <row r="15" spans="1:8" ht="24" customHeight="1" x14ac:dyDescent="0.25">
      <c r="A15" s="1" t="s">
        <v>381</v>
      </c>
      <c r="B15" s="1"/>
      <c r="C15" s="1"/>
      <c r="D15" s="1"/>
      <c r="E15" s="1"/>
      <c r="F15" s="30">
        <f>AVERAGE(F3:F14)</f>
        <v>347.33333333333331</v>
      </c>
      <c r="G15" s="30">
        <f>AVERAGE(G3:G14)</f>
        <v>39.083333333333336</v>
      </c>
      <c r="H15" s="31">
        <f>AVERAGE(H3:H14)</f>
        <v>0.85953311011904754</v>
      </c>
    </row>
  </sheetData>
  <mergeCells count="2">
    <mergeCell ref="A1:H1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PFMEA</vt:lpstr>
      <vt:lpstr>Control Plan</vt:lpstr>
      <vt:lpstr>RPN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dex dex</cp:lastModifiedBy>
  <cp:revision>0</cp:revision>
  <dcterms:created xsi:type="dcterms:W3CDTF">2026-06-28T14:23:53Z</dcterms:created>
  <dcterms:modified xsi:type="dcterms:W3CDTF">2026-06-28T16:13:13Z</dcterms:modified>
  <dc:language>en-US</dc:language>
</cp:coreProperties>
</file>
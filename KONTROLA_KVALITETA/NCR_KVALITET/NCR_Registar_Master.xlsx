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egistar" sheetId="2" r:id="rId2"/>
    <sheet name="Uputstv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.mm.yyyy"/>
    <numFmt numFmtId="166" formatCode="dd.mm.yyyy"/>
  </numFmts>
  <fonts count="1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color rgb="1A1A1A"/>
    </font>
    <font>
      <sz val="10"/>
      <name val="Calibri"/>
      <color rgb="1A1A1A"/>
    </font>
    <font>
      <sz val="14"/>
      <name val="Calibri"/>
      <b/>
      <color rgb="1B4F72"/>
    </font>
    <font>
      <sz val="10"/>
      <name val="Calibri"/>
      <i/>
      <color rgb="546E7A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854D0E"/>
    </font>
    <font>
      <sz val="10"/>
      <name val="Calibri"/>
      <b/>
      <color rgb="2563EB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4F72"/>
        <bgColor/>
      </patternFill>
    </fill>
    <fill>
      <patternFill patternType="solid">
        <fgColor rgb="FF1B4F72"/>
        <bgColor/>
      </patternFill>
    </fill>
    <fill>
      <patternFill patternType="solid">
        <fgColor rgb="FFEAF2F8"/>
        <bgColor/>
      </patternFill>
    </fill>
    <fill>
      <patternFill patternType="solid">
        <fgColor rgb="FFFFF2C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0D2B3E"/>
      </left>
      <right style="thin">
        <color rgb="0D2B3E"/>
      </right>
      <top style="thin">
        <color rgb="0D2B3E"/>
      </top>
      <bottom style="thin">
        <color rgb="0D2B3E"/>
      </bottom>
      <diagonal/>
    </border>
    <border>
      <left style="thin">
        <color rgb="0D2B3E"/>
      </left>
      <right style="thin">
        <color rgb="0D2B3E"/>
      </right>
      <top style="thin">
        <color rgb="0D2B3E"/>
      </top>
      <bottom style="thin">
        <color rgb="0D2B3E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165" fontId="9" fillId="0" borderId="7" xfId="0" applyFont="1" applyBorder="1" applyNumberFormat="1" applyAlignment="1">
      <alignment horizontal="left" vertical="center"/>
    </xf>
    <xf numFmtId="0" fontId="10" fillId="0" borderId="8" xfId="0" applyFont="1" applyBorder="1" applyAlignment="1">
      <alignment horizontal="left" vertical="center" wrapText="true"/>
    </xf>
    <xf numFmtId="0" fontId="11" fillId="5" borderId="9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3" fillId="6" borderId="11" xfId="0" applyFont="1" applyFill="1" applyBorder="1" applyAlignment="1">
      <alignment horizontal="left" vertical="center"/>
    </xf>
    <xf numFmtId="166" fontId="14" fillId="7" borderId="12" xfId="0" applyFont="1" applyFill="1" applyBorder="1" applyNumberFormat="1" applyAlignment="1">
      <alignment horizontal="left" vertical="center"/>
    </xf>
    <xf numFmtId="0" fontId="15" fillId="8" borderId="13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Pojedinacni_Obrasci/NCR-2026-0008.xlsx" TargetMode="External"/><Relationship Id="rId2" Type="http://schemas.openxmlformats.org/officeDocument/2006/relationships/hyperlink" Target="Pojedinacni_Obrasci/NCR-2026-0007.xlsx" TargetMode="External"/><Relationship Id="rId3" Type="http://schemas.openxmlformats.org/officeDocument/2006/relationships/hyperlink" Target="Pojedinacni_Obrasci/NCR-2026-0006.xlsx" TargetMode="External"/><Relationship Id="rId4" Type="http://schemas.openxmlformats.org/officeDocument/2006/relationships/hyperlink" Target="Pojedinacni_Obrasci/NCR-2026-0005.xlsx" TargetMode="External"/><Relationship Id="rId5" Type="http://schemas.openxmlformats.org/officeDocument/2006/relationships/hyperlink" Target="Pojedinacni_Obrasci/NCR-2026-0004.xlsx" TargetMode="External"/><Relationship Id="rId6" Type="http://schemas.openxmlformats.org/officeDocument/2006/relationships/hyperlink" Target="Pojedinacni_Obrasci/NCR-2026-0003.xlsx" TargetMode="External"/><Relationship Id="rId7" Type="http://schemas.openxmlformats.org/officeDocument/2006/relationships/hyperlink" Target="Pojedinacni_Obrasci/NCR-2026-0002.xlsx" TargetMode="External"/><Relationship Id="rId8" Type="http://schemas.openxmlformats.org/officeDocument/2006/relationships/hyperlink" Target="Pojedinacni_Obrasci/NCR-2026-0001.xlsx" TargetMode="External"/><Relationship Id="rId9" Type="http://schemas.openxmlformats.org/officeDocument/2006/relationships/hyperlink" Target="Pojedinacni_Obrasci/NCR-2026-0010.xlsx" TargetMode="External"/><Relationship Id="rId10" Type="http://schemas.openxmlformats.org/officeDocument/2006/relationships/hyperlink" Target="Pojedinacni_Obrasci/NCR-2026-0009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36.83203125" customWidth="1"/>
    <col min="2" max="2" width="10.83203125" customWidth="1"/>
    <col min="3" max="3" width="11.83203125" customWidth="1"/>
    <col min="4" max="4" width="17.83203125" customWidth="1"/>
    <col min="5" max="5" width="8.83203125" customWidth="1"/>
    <col min="6" max="6" width="13.83203125" customWidth="1"/>
  </cols>
  <sheetData>
    <row r="1" ht="28" customHeight="1">
      <c r="A1" s="3" t="str">
        <v>NCR DASHBOARD – PREGLED (CELA FIRMA)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</row>
    <row r="2">
      <c r="A2" s="5" t="str">
        <v>Ažurirano 22. 8. 2026. 13:08:36 · NCR_Registar_Master.xlsx</v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</row>
    <row r="3">
      <c r="A3" s="6" t="str">
        <v/>
      </c>
      <c r="B3" s="6" t="str">
        <v/>
      </c>
      <c r="C3" s="6" t="str">
        <v/>
      </c>
      <c r="D3" s="6" t="str">
        <v/>
      </c>
      <c r="E3" s="6" t="str">
        <v/>
      </c>
      <c r="F3" s="6" t="str">
        <v/>
      </c>
    </row>
    <row r="4">
      <c r="A4" s="5" t="str">
        <v>Ukupno NCR</v>
      </c>
      <c r="B4" s="5" t="str">
        <v>Otvoreni</v>
      </c>
      <c r="C4" s="5" t="str">
        <v>Zatvoreni</v>
      </c>
      <c r="D4" s="5" t="str">
        <v>High / Critical</v>
      </c>
      <c r="E4" s="5" t="str">
        <v>Sa 8D</v>
      </c>
      <c r="F4" s="5" t="str">
        <v>Ponavljanja</v>
      </c>
    </row>
    <row r="5">
      <c r="A5" s="6">
        <v>10</v>
      </c>
      <c r="B5" s="6">
        <v>10</v>
      </c>
      <c r="C5" s="6">
        <v>0</v>
      </c>
      <c r="D5" s="6">
        <v>9</v>
      </c>
      <c r="E5" s="6">
        <v>10</v>
      </c>
      <c r="F5" s="6">
        <v>0</v>
      </c>
    </row>
    <row r="6">
      <c r="A6" s="5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</row>
    <row r="7">
      <c r="A7" s="6" t="str">
        <v>Po pogonima</v>
      </c>
      <c r="B7" s="6" t="str">
        <v/>
      </c>
      <c r="C7" s="6" t="str">
        <v/>
      </c>
      <c r="D7" s="6" t="str">
        <v/>
      </c>
      <c r="E7" s="6" t="str">
        <v/>
      </c>
      <c r="F7" s="6" t="str">
        <v/>
      </c>
    </row>
    <row r="8">
      <c r="A8" s="5" t="str">
        <v>Pogon</v>
      </c>
      <c r="B8" s="5" t="str">
        <v>Ukupno</v>
      </c>
      <c r="C8" s="5" t="str">
        <v>Otvoreni</v>
      </c>
      <c r="D8" s="5" t="str">
        <v>Zatvoreni</v>
      </c>
      <c r="E8" s="5" t="str">
        <v/>
      </c>
      <c r="F8" s="5" t="str">
        <v/>
      </c>
    </row>
    <row r="9">
      <c r="A9" s="6" t="str">
        <v>Nepoznat pogon</v>
      </c>
      <c r="B9" s="6">
        <v>8</v>
      </c>
      <c r="C9" s="6">
        <v>8</v>
      </c>
      <c r="D9" s="6">
        <v>0</v>
      </c>
      <c r="E9" s="6" t="str">
        <v/>
      </c>
      <c r="F9" s="6" t="str">
        <v/>
      </c>
    </row>
    <row r="10">
      <c r="A10" s="5" t="str">
        <v>Karoserija</v>
      </c>
      <c r="B10" s="5">
        <v>2</v>
      </c>
      <c r="C10" s="5">
        <v>2</v>
      </c>
      <c r="D10" s="5">
        <v>0</v>
      </c>
      <c r="E10" s="5" t="str">
        <v/>
      </c>
      <c r="F10" s="5" t="str">
        <v/>
      </c>
    </row>
    <row r="11">
      <c r="A11" s="6" t="str">
        <v/>
      </c>
      <c r="B11" s="6" t="str">
        <v/>
      </c>
      <c r="C11" s="6" t="str">
        <v/>
      </c>
      <c r="D11" s="6" t="str">
        <v/>
      </c>
      <c r="E11" s="6" t="str">
        <v/>
      </c>
      <c r="F11" s="6" t="str">
        <v/>
      </c>
    </row>
    <row r="12">
      <c r="A12" s="5" t="str">
        <v>Brzi vodič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</row>
    <row r="13">
      <c r="A13" s="6" t="str">
        <v>1. NCR_Registar_Master.xlsx — master registar (statistika).</v>
      </c>
      <c r="B13" s="6" t="str">
        <v/>
      </c>
      <c r="C13" s="6" t="str">
        <v/>
      </c>
      <c r="D13" s="6" t="str">
        <v/>
      </c>
      <c r="E13" s="6" t="str">
        <v/>
      </c>
      <c r="F13" s="6" t="str">
        <v/>
      </c>
    </row>
    <row r="14">
      <c r="A14" s="5" t="str">
        <v>2. A4_NCR_Obrazac_Template.xlsx → Save As u Pojedinacni_Obrasci/.</v>
      </c>
      <c r="B14" s="5" t="str">
        <v/>
      </c>
      <c r="C14" s="5" t="str">
        <v/>
      </c>
      <c r="D14" s="5" t="str">
        <v/>
      </c>
      <c r="E14" s="5" t="str">
        <v/>
      </c>
      <c r="F14" s="5" t="str">
        <v/>
      </c>
    </row>
    <row r="15">
      <c r="A15" s="6" t="str">
        <v>3. PDF obrazac u istom folderu pored Excel-a (NCR-2026-001.pdf).</v>
      </c>
      <c r="B15" s="6" t="str">
        <v/>
      </c>
      <c r="C15" s="6" t="str">
        <v/>
      </c>
      <c r="D15" s="6" t="str">
        <v/>
      </c>
      <c r="E15" s="6" t="str">
        <v/>
      </c>
      <c r="F15" s="6" t="str">
        <v/>
      </c>
    </row>
    <row r="16">
      <c r="A16" s="5" t="str">
        <v>4. Kolona Link ka fajlu — HYPERLINK do NCR-*.xlsx.</v>
      </c>
      <c r="B16" s="5" t="str">
        <v/>
      </c>
      <c r="C16" s="5" t="str">
        <v/>
      </c>
      <c r="D16" s="5" t="str">
        <v/>
      </c>
      <c r="E16" s="5" t="str">
        <v/>
      </c>
      <c r="F16" s="5" t="str">
        <v/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4"/>
  <sheetViews>
    <sheetView workbookViewId="0"/>
  </sheetViews>
  <cols>
    <col min="1" max="1" width="15.83203125" customWidth="1"/>
    <col min="2" max="2" width="17.83203125" customWidth="1"/>
    <col min="3" max="3" width="12.83203125" customWidth="1"/>
    <col min="4" max="4" width="15.83203125" customWidth="1"/>
    <col min="5" max="5" width="8.83203125" customWidth="1"/>
    <col min="6" max="6" width="13.83203125" customWidth="1"/>
    <col min="7" max="7" width="9.83203125" customWidth="1"/>
    <col min="8" max="8" width="12.83203125" customWidth="1"/>
    <col min="9" max="9" width="8.83203125" customWidth="1"/>
    <col min="10" max="10" width="42.83203125" customWidth="1"/>
    <col min="11" max="11" width="16.83203125" customWidth="1"/>
    <col min="12" max="12" width="16.83203125" customWidth="1"/>
    <col min="13" max="13" width="19.83203125" customWidth="1"/>
    <col min="14" max="14" width="18.83203125" customWidth="1"/>
    <col min="15" max="15" width="15.83203125" customWidth="1"/>
    <col min="16" max="16" width="17.83203125" customWidth="1"/>
    <col min="17" max="17" width="12.83203125" customWidth="1"/>
    <col min="18" max="18" width="8.83203125" customWidth="1"/>
    <col min="19" max="19" width="12.83203125" customWidth="1"/>
    <col min="20" max="20" width="13.83203125" customWidth="1"/>
    <col min="21" max="21" width="15.83203125" customWidth="1"/>
    <col min="22" max="22" width="14.83203125" customWidth="1"/>
    <col min="23" max="23" width="16.83203125" customWidth="1"/>
    <col min="24" max="24" width="29.83203125" customWidth="1"/>
    <col min="25" max="25" width="19.83203125" customWidth="1"/>
    <col min="26" max="26" width="42.83203125" customWidth="1"/>
    <col min="27" max="27" width="13.83203125" customWidth="1"/>
    <col min="28" max="28" width="15.83203125" customWidth="1"/>
    <col min="29" max="29" width="14.83203125" customWidth="1"/>
    <col min="30" max="30" width="11.83203125" customWidth="1"/>
    <col min="31" max="31" width="12.83203125" customWidth="1"/>
    <col min="32" max="32" width="9.83203125" customWidth="1"/>
    <col min="33" max="33" width="11.83203125" customWidth="1"/>
    <col min="34" max="34" width="8.83203125" customWidth="1"/>
    <col min="35" max="35" width="13.83203125" customWidth="1"/>
    <col min="36" max="36" width="14.83203125" customWidth="1"/>
    <col min="37" max="37" width="18.83203125" customWidth="1"/>
    <col min="38" max="38" width="8.83203125" customWidth="1"/>
    <col min="39" max="39" width="17.83203125" customWidth="1"/>
    <col min="40" max="40" width="40.83203125" customWidth="1"/>
  </cols>
  <sheetData>
    <row r="1" ht="24" customHeight="1">
      <c r="A1" s="7" t="str">
        <v>REGISTAR NEUSAGLAŠENOSTI (NCR) — MASTER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  <c r="V1" s="2" t="str">
        <v/>
      </c>
      <c r="W1" s="2" t="str">
        <v/>
      </c>
      <c r="X1" s="2" t="str">
        <v/>
      </c>
      <c r="Y1" s="2" t="str">
        <v/>
      </c>
      <c r="Z1" s="2" t="str">
        <v/>
      </c>
      <c r="AA1" s="2" t="str">
        <v/>
      </c>
      <c r="AB1" s="2" t="str">
        <v/>
      </c>
      <c r="AC1" s="2" t="str">
        <v/>
      </c>
      <c r="AD1" s="2" t="str">
        <v/>
      </c>
      <c r="AE1" s="2" t="str">
        <v/>
      </c>
      <c r="AF1" s="2" t="str">
        <v/>
      </c>
      <c r="AG1" s="2" t="str">
        <v/>
      </c>
      <c r="AH1" s="2" t="str">
        <v/>
      </c>
      <c r="AI1" s="2" t="str">
        <v/>
      </c>
      <c r="AJ1" s="2" t="str">
        <v/>
      </c>
      <c r="AK1" s="2" t="str">
        <v/>
      </c>
      <c r="AL1" s="2" t="str">
        <v/>
      </c>
      <c r="AM1" s="2" t="str">
        <v/>
      </c>
      <c r="AN1" s="2" t="str">
        <v/>
      </c>
    </row>
    <row r="2" ht="16" customHeight="1">
      <c r="A2" s="8" t="str">
        <v>Centralni pregled · sortirano po pogonu · bojenje statusa i 8D alarma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  <c r="AF2" s="2" t="str">
        <v/>
      </c>
      <c r="AG2" s="2" t="str">
        <v/>
      </c>
      <c r="AH2" s="2" t="str">
        <v/>
      </c>
      <c r="AI2" s="2" t="str">
        <v/>
      </c>
      <c r="AJ2" s="2" t="str">
        <v/>
      </c>
      <c r="AK2" s="2" t="str">
        <v/>
      </c>
      <c r="AL2" s="2" t="str">
        <v/>
      </c>
      <c r="AM2" s="2" t="str">
        <v/>
      </c>
      <c r="AN2" s="2" t="str">
        <v/>
      </c>
    </row>
    <row r="3">
      <c r="A3" s="8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  <c r="AF3" s="2" t="str">
        <v/>
      </c>
      <c r="AG3" s="2" t="str">
        <v/>
      </c>
      <c r="AH3" s="2" t="str">
        <v/>
      </c>
      <c r="AI3" s="2" t="str">
        <v/>
      </c>
      <c r="AJ3" s="2" t="str">
        <v/>
      </c>
      <c r="AK3" s="2" t="str">
        <v/>
      </c>
      <c r="AL3" s="2" t="str">
        <v/>
      </c>
      <c r="AM3" s="2" t="str">
        <v/>
      </c>
      <c r="AN3" s="2" t="str">
        <v/>
      </c>
    </row>
    <row r="4" ht="28" customHeight="1">
      <c r="A4" s="3" t="str">
        <v>Broj NCR-a</v>
      </c>
      <c r="B4" s="3" t="str">
        <v>Datum otvaranja</v>
      </c>
      <c r="C4" s="3" t="str">
        <v>Pogon</v>
      </c>
      <c r="D4" s="3" t="str">
        <v>Linija</v>
      </c>
      <c r="E4" s="3" t="str">
        <v>Mašina</v>
      </c>
      <c r="F4" s="3" t="str">
        <v>Radni nalog</v>
      </c>
      <c r="G4" s="3" t="str">
        <v>ID dela</v>
      </c>
      <c r="H4" s="3" t="str">
        <v>Naziv dela</v>
      </c>
      <c r="I4" s="3" t="str">
        <v>Kupac</v>
      </c>
      <c r="J4" s="3" t="str">
        <v>Opis neusaglašenosti</v>
      </c>
      <c r="K4" s="3" t="str">
        <v>Karakteristika</v>
      </c>
      <c r="L4" s="3" t="str">
        <v>Zahtev / spec.</v>
      </c>
      <c r="M4" s="3" t="str">
        <v>Izmerena vrednost</v>
      </c>
      <c r="N4" s="3" t="str">
        <v>Kol. proizvedena</v>
      </c>
      <c r="O4" s="3" t="str">
        <v>Kol. sumnjiva</v>
      </c>
      <c r="P4" s="3" t="str">
        <v>Kol. neispravna</v>
      </c>
      <c r="Q4" s="3" t="str">
        <v>Tip greške</v>
      </c>
      <c r="R4" s="3" t="str">
        <v>6M</v>
      </c>
      <c r="S4" s="3" t="str">
        <v>Ozbiljnost</v>
      </c>
      <c r="T4" s="3" t="str">
        <v>Ponavljanje</v>
      </c>
      <c r="U4" s="3" t="str">
        <v>Prethodni NCR</v>
      </c>
      <c r="V4" s="3" t="str">
        <v>Uticaj kupca</v>
      </c>
      <c r="W4" s="3" t="str">
        <v>Detektovao</v>
      </c>
      <c r="X4" s="3" t="str">
        <v>Metoda detekcije</v>
      </c>
      <c r="Y4" s="3" t="str">
        <v>Datum containment</v>
      </c>
      <c r="Z4" s="3" t="str">
        <v>Containment</v>
      </c>
      <c r="AA4" s="3" t="str">
        <v>Dispozicija</v>
      </c>
      <c r="AB4" s="3" t="str">
        <v>Odobrio disp.</v>
      </c>
      <c r="AC4" s="3" t="str">
        <v>Pokrenut 8D?</v>
      </c>
      <c r="AD4" s="3" t="str">
        <v>8D broj</v>
      </c>
      <c r="AE4" s="3" t="str">
        <v>PFMEA rev.</v>
      </c>
      <c r="AF4" s="3" t="str">
        <v>CP rev.</v>
      </c>
      <c r="AG4" s="3" t="str">
        <v>Odgovoran</v>
      </c>
      <c r="AH4" s="3" t="str">
        <v>Rok</v>
      </c>
      <c r="AI4" s="3" t="str">
        <v>Status</v>
      </c>
      <c r="AJ4" s="3" t="str">
        <v>Verifikacija</v>
      </c>
      <c r="AK4" s="3" t="str">
        <v>Datum zatvaranja</v>
      </c>
      <c r="AL4" s="3" t="str">
        <v>SRA</v>
      </c>
      <c r="AM4" s="3" t="str">
        <v>Br. reklamacije</v>
      </c>
      <c r="AN4" s="3" t="str">
        <v>Link ka fajlu</v>
      </c>
    </row>
    <row r="5">
      <c r="A5" s="9" t="str">
        <v>NCR-2026-0008</v>
      </c>
      <c r="B5" s="10">
        <v>46219</v>
      </c>
      <c r="C5" s="9" t="str">
        <v/>
      </c>
      <c r="D5" s="9" t="str">
        <v>Debljina lima</v>
      </c>
      <c r="E5" s="9" t="str">
        <v/>
      </c>
      <c r="F5" s="9" t="str">
        <v/>
      </c>
      <c r="G5" s="9" t="str">
        <v>NM-001</v>
      </c>
      <c r="H5" s="9" t="str">
        <v/>
      </c>
      <c r="I5" s="9" t="str">
        <v/>
      </c>
      <c r="J5" s="11" t="str">
        <v>SPC alarm: Linija-karta · Debljina lima · NOK ≥30% Major (3/5) · S1</v>
      </c>
      <c r="K5" s="9" t="str">
        <v/>
      </c>
      <c r="L5" s="9" t="str">
        <v/>
      </c>
      <c r="M5" s="9" t="str">
        <v/>
      </c>
      <c r="N5" s="9" t="str">
        <v/>
      </c>
      <c r="O5" s="9" t="str">
        <v/>
      </c>
      <c r="P5" s="9" t="str">
        <v/>
      </c>
      <c r="Q5" s="9" t="str">
        <v/>
      </c>
      <c r="R5" s="9" t="str">
        <v/>
      </c>
      <c r="S5" s="9" t="str">
        <v>High</v>
      </c>
      <c r="T5" s="9" t="str">
        <v>NE</v>
      </c>
      <c r="U5" s="9" t="str">
        <v/>
      </c>
      <c r="V5" s="9" t="str">
        <v>NE</v>
      </c>
      <c r="W5" s="9" t="str">
        <v/>
      </c>
      <c r="X5" s="9" t="str">
        <v/>
      </c>
      <c r="Y5" s="9" t="str">
        <v/>
      </c>
      <c r="Z5" s="9" t="str">
        <v/>
      </c>
      <c r="AA5" s="9" t="str">
        <v/>
      </c>
      <c r="AB5" s="9" t="str">
        <v/>
      </c>
      <c r="AC5" s="9" t="str">
        <v>DA</v>
      </c>
      <c r="AD5" s="9" t="str">
        <v/>
      </c>
      <c r="AE5" s="9" t="str">
        <v/>
      </c>
      <c r="AF5" s="9" t="str">
        <v/>
      </c>
      <c r="AG5" s="9" t="str">
        <v/>
      </c>
      <c r="AH5" s="9" t="str">
        <v/>
      </c>
      <c r="AI5" s="12" t="str">
        <v>OTVOREN</v>
      </c>
      <c r="AJ5" s="9" t="str">
        <v/>
      </c>
      <c r="AK5" s="9" t="str">
        <v/>
      </c>
      <c r="AL5" s="9" t="str">
        <v>NE</v>
      </c>
      <c r="AM5" s="9" t="str">
        <v/>
      </c>
      <c r="AN5" s="13" t="str">
        <f>HYPERLINK("Pojedinacni_Obrasci/NCR-2026-0008.xlsx","Otvori obrazac")</f>
        <v>Otvori obrazac</v>
      </c>
    </row>
    <row r="6">
      <c r="A6" s="14" t="str">
        <v>NCR-2026-0007</v>
      </c>
      <c r="B6" s="15">
        <v>46219</v>
      </c>
      <c r="C6" s="14" t="str">
        <v/>
      </c>
      <c r="D6" s="14" t="str">
        <v>Atributivne</v>
      </c>
      <c r="E6" s="14" t="str">
        <v/>
      </c>
      <c r="F6" s="14" t="str">
        <v/>
      </c>
      <c r="G6" s="14" t="str">
        <v>HAM-001</v>
      </c>
      <c r="H6" s="14" t="str">
        <v/>
      </c>
      <c r="I6" s="14" t="str">
        <v/>
      </c>
      <c r="J6" s="16" t="str">
        <v>SPC alarm: Linija-karta · Atributivne · NOK ≥10% (3/6) · atributivne</v>
      </c>
      <c r="K6" s="14" t="str">
        <v/>
      </c>
      <c r="L6" s="14" t="str">
        <v/>
      </c>
      <c r="M6" s="14" t="str">
        <v/>
      </c>
      <c r="N6" s="14" t="str">
        <v/>
      </c>
      <c r="O6" s="14" t="str">
        <v/>
      </c>
      <c r="P6" s="14" t="str">
        <v/>
      </c>
      <c r="Q6" s="14" t="str">
        <v/>
      </c>
      <c r="R6" s="14" t="str">
        <v/>
      </c>
      <c r="S6" s="14" t="str">
        <v>High</v>
      </c>
      <c r="T6" s="14" t="str">
        <v>NE</v>
      </c>
      <c r="U6" s="14" t="str">
        <v/>
      </c>
      <c r="V6" s="14" t="str">
        <v>NE</v>
      </c>
      <c r="W6" s="14" t="str">
        <v/>
      </c>
      <c r="X6" s="14" t="str">
        <v/>
      </c>
      <c r="Y6" s="14" t="str">
        <v/>
      </c>
      <c r="Z6" s="14" t="str">
        <v/>
      </c>
      <c r="AA6" s="14" t="str">
        <v/>
      </c>
      <c r="AB6" s="14" t="str">
        <v/>
      </c>
      <c r="AC6" s="14" t="str">
        <v>DA</v>
      </c>
      <c r="AD6" s="14" t="str">
        <v/>
      </c>
      <c r="AE6" s="14" t="str">
        <v/>
      </c>
      <c r="AF6" s="14" t="str">
        <v/>
      </c>
      <c r="AG6" s="14" t="str">
        <v/>
      </c>
      <c r="AH6" s="14" t="str">
        <v/>
      </c>
      <c r="AI6" s="12" t="str">
        <v>OTVOREN</v>
      </c>
      <c r="AJ6" s="14" t="str">
        <v/>
      </c>
      <c r="AK6" s="14" t="str">
        <v/>
      </c>
      <c r="AL6" s="14" t="str">
        <v>NE</v>
      </c>
      <c r="AM6" s="14" t="str">
        <v/>
      </c>
      <c r="AN6" s="13" t="str">
        <f>HYPERLINK("Pojedinacni_Obrasci/NCR-2026-0007.xlsx","Otvori obrazac")</f>
        <v>Otvori obrazac</v>
      </c>
    </row>
    <row r="7">
      <c r="A7" s="9" t="str">
        <v>NCR-2026-0006</v>
      </c>
      <c r="B7" s="10">
        <v>46219</v>
      </c>
      <c r="C7" s="9" t="str">
        <v/>
      </c>
      <c r="D7" s="9" t="str">
        <v/>
      </c>
      <c r="E7" s="9" t="str">
        <v/>
      </c>
      <c r="F7" s="9" t="str">
        <v/>
      </c>
      <c r="G7" s="9" t="str">
        <v>HAM-001</v>
      </c>
      <c r="H7" s="9" t="str">
        <v/>
      </c>
      <c r="I7" s="9" t="str">
        <v/>
      </c>
      <c r="J7" s="11" t="str">
        <v>AUTO-NCR-3X: 3 NOK uzastopna na poz. FUNKCIONALNE ZONE I PODVOZJE · smena 1</v>
      </c>
      <c r="K7" s="9" t="str">
        <v/>
      </c>
      <c r="L7" s="9" t="str">
        <v/>
      </c>
      <c r="M7" s="9" t="str">
        <v/>
      </c>
      <c r="N7" s="9" t="str">
        <v/>
      </c>
      <c r="O7" s="9" t="str">
        <v/>
      </c>
      <c r="P7" s="9" t="str">
        <v/>
      </c>
      <c r="Q7" s="9" t="str">
        <v/>
      </c>
      <c r="R7" s="9" t="str">
        <v/>
      </c>
      <c r="S7" s="9" t="str">
        <v>High</v>
      </c>
      <c r="T7" s="9" t="str">
        <v>NE</v>
      </c>
      <c r="U7" s="9" t="str">
        <v/>
      </c>
      <c r="V7" s="9" t="str">
        <v>NE</v>
      </c>
      <c r="W7" s="9" t="str">
        <v/>
      </c>
      <c r="X7" s="9" t="str">
        <v/>
      </c>
      <c r="Y7" s="9" t="str">
        <v/>
      </c>
      <c r="Z7" s="9" t="str">
        <v/>
      </c>
      <c r="AA7" s="9" t="str">
        <v/>
      </c>
      <c r="AB7" s="9" t="str">
        <v/>
      </c>
      <c r="AC7" s="9" t="str">
        <v>DA</v>
      </c>
      <c r="AD7" s="9" t="str">
        <v/>
      </c>
      <c r="AE7" s="9" t="str">
        <v/>
      </c>
      <c r="AF7" s="9" t="str">
        <v/>
      </c>
      <c r="AG7" s="9" t="str">
        <v/>
      </c>
      <c r="AH7" s="9" t="str">
        <v/>
      </c>
      <c r="AI7" s="12" t="str">
        <v>OTVOREN</v>
      </c>
      <c r="AJ7" s="9" t="str">
        <v/>
      </c>
      <c r="AK7" s="9" t="str">
        <v/>
      </c>
      <c r="AL7" s="9" t="str">
        <v>NE</v>
      </c>
      <c r="AM7" s="9" t="str">
        <v/>
      </c>
      <c r="AN7" s="13" t="str">
        <f>HYPERLINK("Pojedinacni_Obrasci/NCR-2026-0006.xlsx","Otvori obrazac")</f>
        <v>Otvori obrazac</v>
      </c>
    </row>
    <row r="8">
      <c r="A8" s="14" t="str">
        <v>NCR-2026-0005</v>
      </c>
      <c r="B8" s="15">
        <v>46219</v>
      </c>
      <c r="C8" s="14" t="str">
        <v/>
      </c>
      <c r="D8" s="14" t="str">
        <v>Atributivne</v>
      </c>
      <c r="E8" s="14" t="str">
        <v/>
      </c>
      <c r="F8" s="14" t="str">
        <v/>
      </c>
      <c r="G8" s="14" t="str">
        <v>HAM-001</v>
      </c>
      <c r="H8" s="14" t="str">
        <v/>
      </c>
      <c r="I8" s="14" t="str">
        <v/>
      </c>
      <c r="J8" s="16" t="str">
        <v>SPC alarm: Linija-karta · Atributivne · NOK ≥10% (3/5) · atributivne</v>
      </c>
      <c r="K8" s="14" t="str">
        <v/>
      </c>
      <c r="L8" s="14" t="str">
        <v/>
      </c>
      <c r="M8" s="14" t="str">
        <v/>
      </c>
      <c r="N8" s="14" t="str">
        <v/>
      </c>
      <c r="O8" s="14" t="str">
        <v/>
      </c>
      <c r="P8" s="14" t="str">
        <v/>
      </c>
      <c r="Q8" s="14" t="str">
        <v/>
      </c>
      <c r="R8" s="14" t="str">
        <v/>
      </c>
      <c r="S8" s="14" t="str">
        <v>High</v>
      </c>
      <c r="T8" s="14" t="str">
        <v>NE</v>
      </c>
      <c r="U8" s="14" t="str">
        <v/>
      </c>
      <c r="V8" s="14" t="str">
        <v>NE</v>
      </c>
      <c r="W8" s="14" t="str">
        <v/>
      </c>
      <c r="X8" s="14" t="str">
        <v/>
      </c>
      <c r="Y8" s="14" t="str">
        <v/>
      </c>
      <c r="Z8" s="14" t="str">
        <v/>
      </c>
      <c r="AA8" s="14" t="str">
        <v/>
      </c>
      <c r="AB8" s="14" t="str">
        <v/>
      </c>
      <c r="AC8" s="14" t="str">
        <v>DA</v>
      </c>
      <c r="AD8" s="14" t="str">
        <v/>
      </c>
      <c r="AE8" s="14" t="str">
        <v/>
      </c>
      <c r="AF8" s="14" t="str">
        <v/>
      </c>
      <c r="AG8" s="14" t="str">
        <v/>
      </c>
      <c r="AH8" s="14" t="str">
        <v/>
      </c>
      <c r="AI8" s="12" t="str">
        <v>OTVOREN</v>
      </c>
      <c r="AJ8" s="14" t="str">
        <v/>
      </c>
      <c r="AK8" s="14" t="str">
        <v/>
      </c>
      <c r="AL8" s="14" t="str">
        <v>NE</v>
      </c>
      <c r="AM8" s="14" t="str">
        <v/>
      </c>
      <c r="AN8" s="13" t="str">
        <f>HYPERLINK("Pojedinacni_Obrasci/NCR-2026-0005.xlsx","Otvori obrazac")</f>
        <v>Otvori obrazac</v>
      </c>
    </row>
    <row r="9">
      <c r="A9" s="9" t="str">
        <v>NCR-2026-0004</v>
      </c>
      <c r="B9" s="10">
        <v>46214</v>
      </c>
      <c r="C9" s="9" t="str">
        <v/>
      </c>
      <c r="D9" s="9" t="str">
        <v>Atributivne</v>
      </c>
      <c r="E9" s="9" t="str">
        <v/>
      </c>
      <c r="F9" s="9" t="str">
        <v/>
      </c>
      <c r="G9" s="9" t="str">
        <v>NTV-001</v>
      </c>
      <c r="H9" s="9" t="str">
        <v/>
      </c>
      <c r="I9" s="9" t="str">
        <v/>
      </c>
      <c r="J9" s="11" t="str">
        <v>SPC alarm: Linija-karta · Atributivne · NOK ≥10% (3/3) · atributivne</v>
      </c>
      <c r="K9" s="9" t="str">
        <v/>
      </c>
      <c r="L9" s="9" t="str">
        <v/>
      </c>
      <c r="M9" s="9" t="str">
        <v/>
      </c>
      <c r="N9" s="9" t="str">
        <v/>
      </c>
      <c r="O9" s="9" t="str">
        <v/>
      </c>
      <c r="P9" s="9" t="str">
        <v/>
      </c>
      <c r="Q9" s="9" t="str">
        <v/>
      </c>
      <c r="R9" s="9" t="str">
        <v/>
      </c>
      <c r="S9" s="9" t="str">
        <v>High</v>
      </c>
      <c r="T9" s="9" t="str">
        <v>NE</v>
      </c>
      <c r="U9" s="9" t="str">
        <v/>
      </c>
      <c r="V9" s="9" t="str">
        <v>NE</v>
      </c>
      <c r="W9" s="9" t="str">
        <v/>
      </c>
      <c r="X9" s="9" t="str">
        <v/>
      </c>
      <c r="Y9" s="9" t="str">
        <v/>
      </c>
      <c r="Z9" s="9" t="str">
        <v/>
      </c>
      <c r="AA9" s="9" t="str">
        <v/>
      </c>
      <c r="AB9" s="9" t="str">
        <v/>
      </c>
      <c r="AC9" s="9" t="str">
        <v>DA</v>
      </c>
      <c r="AD9" s="9" t="str">
        <v/>
      </c>
      <c r="AE9" s="9" t="str">
        <v/>
      </c>
      <c r="AF9" s="9" t="str">
        <v/>
      </c>
      <c r="AG9" s="9" t="str">
        <v/>
      </c>
      <c r="AH9" s="9" t="str">
        <v/>
      </c>
      <c r="AI9" s="12" t="str">
        <v>OTVOREN</v>
      </c>
      <c r="AJ9" s="9" t="str">
        <v/>
      </c>
      <c r="AK9" s="9" t="str">
        <v/>
      </c>
      <c r="AL9" s="9" t="str">
        <v>NE</v>
      </c>
      <c r="AM9" s="9" t="str">
        <v/>
      </c>
      <c r="AN9" s="13" t="str">
        <f>HYPERLINK("Pojedinacni_Obrasci/NCR-2026-0004.xlsx","Otvori obrazac")</f>
        <v>Otvori obrazac</v>
      </c>
    </row>
    <row r="10">
      <c r="A10" s="14" t="str">
        <v>NCR-2026-0003</v>
      </c>
      <c r="B10" s="15">
        <v>46214</v>
      </c>
      <c r="C10" s="14" t="str">
        <v/>
      </c>
      <c r="D10" s="14" t="str">
        <v/>
      </c>
      <c r="E10" s="14" t="str">
        <v/>
      </c>
      <c r="F10" s="14" t="str">
        <v/>
      </c>
      <c r="G10" s="14" t="str">
        <v>NTV-001</v>
      </c>
      <c r="H10" s="14" t="str">
        <v/>
      </c>
      <c r="I10" s="14" t="str">
        <v/>
      </c>
      <c r="J10" s="16" t="str">
        <v>AUTO-NCR-3X: 4 NOK uzastopna na poz. STAKLENE POVRŠINE · smena 2</v>
      </c>
      <c r="K10" s="14" t="str">
        <v/>
      </c>
      <c r="L10" s="14" t="str">
        <v/>
      </c>
      <c r="M10" s="14" t="str">
        <v/>
      </c>
      <c r="N10" s="14" t="str">
        <v/>
      </c>
      <c r="O10" s="14" t="str">
        <v/>
      </c>
      <c r="P10" s="14" t="str">
        <v/>
      </c>
      <c r="Q10" s="14" t="str">
        <v/>
      </c>
      <c r="R10" s="14" t="str">
        <v/>
      </c>
      <c r="S10" s="14" t="str">
        <v>Critical</v>
      </c>
      <c r="T10" s="14" t="str">
        <v>NE</v>
      </c>
      <c r="U10" s="14" t="str">
        <v/>
      </c>
      <c r="V10" s="14" t="str">
        <v>NE</v>
      </c>
      <c r="W10" s="14" t="str">
        <v/>
      </c>
      <c r="X10" s="14" t="str">
        <v/>
      </c>
      <c r="Y10" s="14" t="str">
        <v/>
      </c>
      <c r="Z10" s="14" t="str">
        <v/>
      </c>
      <c r="AA10" s="14" t="str">
        <v/>
      </c>
      <c r="AB10" s="14" t="str">
        <v/>
      </c>
      <c r="AC10" s="14" t="str">
        <v>DA</v>
      </c>
      <c r="AD10" s="14" t="str">
        <v/>
      </c>
      <c r="AE10" s="14" t="str">
        <v/>
      </c>
      <c r="AF10" s="14" t="str">
        <v/>
      </c>
      <c r="AG10" s="14" t="str">
        <v/>
      </c>
      <c r="AH10" s="14" t="str">
        <v/>
      </c>
      <c r="AI10" s="12" t="str">
        <v>OTVOREN</v>
      </c>
      <c r="AJ10" s="14" t="str">
        <v/>
      </c>
      <c r="AK10" s="14" t="str">
        <v/>
      </c>
      <c r="AL10" s="14" t="str">
        <v>NE</v>
      </c>
      <c r="AM10" s="14" t="str">
        <v/>
      </c>
      <c r="AN10" s="13" t="str">
        <f>HYPERLINK("Pojedinacni_Obrasci/NCR-2026-0003.xlsx","Otvori obrazac")</f>
        <v>Otvori obrazac</v>
      </c>
    </row>
    <row r="11">
      <c r="A11" s="9" t="str">
        <v>NCR-2026-0002</v>
      </c>
      <c r="B11" s="10">
        <v>46214</v>
      </c>
      <c r="C11" s="9" t="str">
        <v/>
      </c>
      <c r="D11" s="9" t="str">
        <v>Atributivne</v>
      </c>
      <c r="E11" s="9" t="str">
        <v/>
      </c>
      <c r="F11" s="9" t="str">
        <v/>
      </c>
      <c r="G11" s="9" t="str">
        <v>NTV-001</v>
      </c>
      <c r="H11" s="9" t="str">
        <v/>
      </c>
      <c r="I11" s="9" t="str">
        <v/>
      </c>
      <c r="J11" s="11" t="str">
        <v>SPC alarm: Linija-karta · Atributivne · NOK ≥10% (4/5) · atributivne</v>
      </c>
      <c r="K11" s="9" t="str">
        <v/>
      </c>
      <c r="L11" s="9" t="str">
        <v/>
      </c>
      <c r="M11" s="9" t="str">
        <v/>
      </c>
      <c r="N11" s="9" t="str">
        <v/>
      </c>
      <c r="O11" s="9" t="str">
        <v/>
      </c>
      <c r="P11" s="9" t="str">
        <v/>
      </c>
      <c r="Q11" s="9" t="str">
        <v/>
      </c>
      <c r="R11" s="9" t="str">
        <v/>
      </c>
      <c r="S11" s="9" t="str">
        <v>High</v>
      </c>
      <c r="T11" s="9" t="str">
        <v>NE</v>
      </c>
      <c r="U11" s="9" t="str">
        <v/>
      </c>
      <c r="V11" s="9" t="str">
        <v>NE</v>
      </c>
      <c r="W11" s="9" t="str">
        <v/>
      </c>
      <c r="X11" s="9" t="str">
        <v/>
      </c>
      <c r="Y11" s="9" t="str">
        <v/>
      </c>
      <c r="Z11" s="9" t="str">
        <v/>
      </c>
      <c r="AA11" s="9" t="str">
        <v/>
      </c>
      <c r="AB11" s="9" t="str">
        <v/>
      </c>
      <c r="AC11" s="9" t="str">
        <v>DA</v>
      </c>
      <c r="AD11" s="9" t="str">
        <v/>
      </c>
      <c r="AE11" s="9" t="str">
        <v/>
      </c>
      <c r="AF11" s="9" t="str">
        <v/>
      </c>
      <c r="AG11" s="9" t="str">
        <v/>
      </c>
      <c r="AH11" s="9" t="str">
        <v/>
      </c>
      <c r="AI11" s="12" t="str">
        <v>OTVOREN</v>
      </c>
      <c r="AJ11" s="9" t="str">
        <v/>
      </c>
      <c r="AK11" s="9" t="str">
        <v/>
      </c>
      <c r="AL11" s="9" t="str">
        <v>NE</v>
      </c>
      <c r="AM11" s="9" t="str">
        <v/>
      </c>
      <c r="AN11" s="13" t="str">
        <f>HYPERLINK("Pojedinacni_Obrasci/NCR-2026-0002.xlsx","Otvori obrazac")</f>
        <v>Otvori obrazac</v>
      </c>
    </row>
    <row r="12">
      <c r="A12" s="14" t="str">
        <v>NCR-2026-0001</v>
      </c>
      <c r="B12" s="15">
        <v>46212</v>
      </c>
      <c r="C12" s="14" t="str">
        <v/>
      </c>
      <c r="D12" s="14" t="str">
        <v/>
      </c>
      <c r="E12" s="14" t="str">
        <v/>
      </c>
      <c r="F12" s="14" t="str">
        <v/>
      </c>
      <c r="G12" s="14" t="str">
        <v>5502-A</v>
      </c>
      <c r="H12" s="14" t="str">
        <v/>
      </c>
      <c r="I12" s="14" t="str">
        <v/>
      </c>
      <c r="J12" s="16" t="str">
        <v>dfdf</v>
      </c>
      <c r="K12" s="14" t="str">
        <v/>
      </c>
      <c r="L12" s="14" t="str">
        <v/>
      </c>
      <c r="M12" s="14" t="str">
        <v/>
      </c>
      <c r="N12" s="14" t="str">
        <v/>
      </c>
      <c r="O12" s="14" t="str">
        <v/>
      </c>
      <c r="P12" s="14" t="str">
        <v/>
      </c>
      <c r="Q12" s="14" t="str">
        <v/>
      </c>
      <c r="R12" s="14" t="str">
        <v/>
      </c>
      <c r="S12" s="14" t="str">
        <v>Medium</v>
      </c>
      <c r="T12" s="14" t="str">
        <v>NE</v>
      </c>
      <c r="U12" s="14" t="str">
        <v/>
      </c>
      <c r="V12" s="14" t="str">
        <v>NE</v>
      </c>
      <c r="W12" s="14" t="str">
        <v/>
      </c>
      <c r="X12" s="14" t="str">
        <v/>
      </c>
      <c r="Y12" s="14" t="str">
        <v/>
      </c>
      <c r="Z12" s="14" t="str">
        <v/>
      </c>
      <c r="AA12" s="14" t="str">
        <v/>
      </c>
      <c r="AB12" s="14" t="str">
        <v/>
      </c>
      <c r="AC12" s="14" t="str">
        <v>DA</v>
      </c>
      <c r="AD12" s="14" t="str">
        <v/>
      </c>
      <c r="AE12" s="14" t="str">
        <v/>
      </c>
      <c r="AF12" s="14" t="str">
        <v/>
      </c>
      <c r="AG12" s="14" t="str">
        <v/>
      </c>
      <c r="AH12" s="14" t="str">
        <v/>
      </c>
      <c r="AI12" s="9" t="str">
        <v>CONTAINMENT</v>
      </c>
      <c r="AJ12" s="14" t="str">
        <v/>
      </c>
      <c r="AK12" s="14" t="str">
        <v/>
      </c>
      <c r="AL12" s="14" t="str">
        <v>NE</v>
      </c>
      <c r="AM12" s="14" t="str">
        <v/>
      </c>
      <c r="AN12" s="13" t="str">
        <f>HYPERLINK("Pojedinacni_Obrasci/NCR-2026-0001.xlsx","Otvori obrazac")</f>
        <v>Otvori obrazac</v>
      </c>
    </row>
    <row r="13">
      <c r="A13" s="9" t="str">
        <v>NCR-2026-0010</v>
      </c>
      <c r="B13" s="10">
        <v>46254</v>
      </c>
      <c r="C13" s="9" t="str">
        <v>Karoserija</v>
      </c>
      <c r="D13" s="9" t="str">
        <v>Preseraj</v>
      </c>
      <c r="E13" s="9" t="str">
        <v/>
      </c>
      <c r="F13" s="9" t="str">
        <v/>
      </c>
      <c r="G13" s="9" t="str">
        <v>NM-001</v>
      </c>
      <c r="H13" s="9" t="str">
        <v/>
      </c>
      <c r="I13" s="9" t="str">
        <v/>
      </c>
      <c r="J13" s="11" t="str">
        <v>[DEMO-VEZA-2026] Debljina lima 9.72 mm — ispod LSL 9.80 mm (5 komada u seriji A)</v>
      </c>
      <c r="K13" s="9" t="str">
        <v/>
      </c>
      <c r="L13" s="9" t="str">
        <v/>
      </c>
      <c r="M13" s="9" t="str">
        <v/>
      </c>
      <c r="N13" s="9">
        <v>120</v>
      </c>
      <c r="O13" s="9" t="str">
        <v/>
      </c>
      <c r="P13" s="9">
        <v>5</v>
      </c>
      <c r="Q13" s="9" t="str">
        <v/>
      </c>
      <c r="R13" s="9" t="str">
        <v/>
      </c>
      <c r="S13" s="9" t="str">
        <v>High</v>
      </c>
      <c r="T13" s="9" t="str">
        <v>NE</v>
      </c>
      <c r="U13" s="9" t="str">
        <v/>
      </c>
      <c r="V13" s="9" t="str">
        <v>NE</v>
      </c>
      <c r="W13" s="9" t="str">
        <v>Demo kontrolor</v>
      </c>
      <c r="X13" s="9" t="str">
        <v>Merljiva kontrola na liniji</v>
      </c>
      <c r="Y13" s="9" t="str">
        <v/>
      </c>
      <c r="Z13" s="9" t="str">
        <v>Stop linija · sortiranje poslednjih 30 kom · karantin palete #K-042</v>
      </c>
      <c r="AA13" s="9" t="str">
        <v/>
      </c>
      <c r="AB13" s="9" t="str">
        <v/>
      </c>
      <c r="AC13" s="9" t="str">
        <v>DA</v>
      </c>
      <c r="AD13" s="9" t="str">
        <v>8D-NM-002</v>
      </c>
      <c r="AE13" s="9" t="str">
        <v/>
      </c>
      <c r="AF13" s="9" t="str">
        <v/>
      </c>
      <c r="AG13" s="9" t="str">
        <v/>
      </c>
      <c r="AH13" s="9" t="str">
        <v/>
      </c>
      <c r="AI13" s="12" t="str">
        <v>OTVOREN</v>
      </c>
      <c r="AJ13" s="9" t="str">
        <v/>
      </c>
      <c r="AK13" s="9" t="str">
        <v/>
      </c>
      <c r="AL13" s="9" t="str">
        <v>NE</v>
      </c>
      <c r="AM13" s="9" t="str">
        <v/>
      </c>
      <c r="AN13" s="13" t="str">
        <f>HYPERLINK("Pojedinacni_Obrasci/NCR-2026-0010.xlsx","Otvori obrazac")</f>
        <v>Otvori obrazac</v>
      </c>
    </row>
    <row r="14">
      <c r="A14" s="14" t="str">
        <v>NCR-2026-0009</v>
      </c>
      <c r="B14" s="15">
        <v>46254</v>
      </c>
      <c r="C14" s="14" t="str">
        <v>Karoserija</v>
      </c>
      <c r="D14" s="14" t="str">
        <v>Preseraj</v>
      </c>
      <c r="E14" s="14" t="str">
        <v/>
      </c>
      <c r="F14" s="14" t="str">
        <v/>
      </c>
      <c r="G14" s="14" t="str">
        <v>NM-001</v>
      </c>
      <c r="H14" s="14" t="str">
        <v/>
      </c>
      <c r="I14" s="14" t="str">
        <v/>
      </c>
      <c r="J14" s="16" t="str">
        <v>[DEMO-VEZA-2026] Debljina lima 9.72 mm — ispod LSL 9.80 mm (5 komada u seriji A)</v>
      </c>
      <c r="K14" s="14" t="str">
        <v/>
      </c>
      <c r="L14" s="14" t="str">
        <v/>
      </c>
      <c r="M14" s="14" t="str">
        <v/>
      </c>
      <c r="N14" s="14">
        <v>120</v>
      </c>
      <c r="O14" s="14" t="str">
        <v/>
      </c>
      <c r="P14" s="14">
        <v>5</v>
      </c>
      <c r="Q14" s="14" t="str">
        <v/>
      </c>
      <c r="R14" s="14" t="str">
        <v/>
      </c>
      <c r="S14" s="14" t="str">
        <v>High</v>
      </c>
      <c r="T14" s="14" t="str">
        <v>NE</v>
      </c>
      <c r="U14" s="14" t="str">
        <v/>
      </c>
      <c r="V14" s="14" t="str">
        <v>NE</v>
      </c>
      <c r="W14" s="14" t="str">
        <v>Demo kontrolor</v>
      </c>
      <c r="X14" s="14" t="str">
        <v>Merljiva kontrola na liniji</v>
      </c>
      <c r="Y14" s="14" t="str">
        <v/>
      </c>
      <c r="Z14" s="14" t="str">
        <v>Stop linija · sortiranje poslednjih 30 kom · karantin palete #K-042</v>
      </c>
      <c r="AA14" s="14" t="str">
        <v/>
      </c>
      <c r="AB14" s="14" t="str">
        <v/>
      </c>
      <c r="AC14" s="14" t="str">
        <v>DA</v>
      </c>
      <c r="AD14" s="14" t="str">
        <v>8D-NM-001</v>
      </c>
      <c r="AE14" s="14" t="str">
        <v/>
      </c>
      <c r="AF14" s="14" t="str">
        <v/>
      </c>
      <c r="AG14" s="14" t="str">
        <v/>
      </c>
      <c r="AH14" s="14" t="str">
        <v/>
      </c>
      <c r="AI14" s="12" t="str">
        <v>OTVOREN</v>
      </c>
      <c r="AJ14" s="14" t="str">
        <v/>
      </c>
      <c r="AK14" s="14" t="str">
        <v/>
      </c>
      <c r="AL14" s="14" t="str">
        <v>NE</v>
      </c>
      <c r="AM14" s="14" t="str">
        <v/>
      </c>
      <c r="AN14" s="13" t="str">
        <f>HYPERLINK("Pojedinacni_Obrasci/NCR-2026-0009.xlsx","Otvori obrazac")</f>
        <v>Otvori obrazac</v>
      </c>
    </row>
  </sheetData>
  <mergeCells count="2">
    <mergeCell ref="A1:AN1"/>
    <mergeCell ref="A2:AN2"/>
  </mergeCells>
  <hyperlinks>
    <hyperlink ref="AN5" r:id="rId1" tooltip="Pojedinacni_Obrasci/NCR-2026-0008.xlsx"/>
    <hyperlink ref="AN6" r:id="rId2" tooltip="Pojedinacni_Obrasci/NCR-2026-0007.xlsx"/>
    <hyperlink ref="AN7" r:id="rId3" tooltip="Pojedinacni_Obrasci/NCR-2026-0006.xlsx"/>
    <hyperlink ref="AN8" r:id="rId4" tooltip="Pojedinacni_Obrasci/NCR-2026-0005.xlsx"/>
    <hyperlink ref="AN9" r:id="rId5" tooltip="Pojedinacni_Obrasci/NCR-2026-0004.xlsx"/>
    <hyperlink ref="AN10" r:id="rId6" tooltip="Pojedinacni_Obrasci/NCR-2026-0003.xlsx"/>
    <hyperlink ref="AN11" r:id="rId7" tooltip="Pojedinacni_Obrasci/NCR-2026-0002.xlsx"/>
    <hyperlink ref="AN12" r:id="rId8" tooltip="Pojedinacni_Obrasci/NCR-2026-0001.xlsx"/>
    <hyperlink ref="AN13" r:id="rId9" tooltip="Pojedinacni_Obrasci/NCR-2026-0010.xlsx"/>
    <hyperlink ref="AN14" r:id="rId10" tooltip="Pojedinacni_Obrasci/NCR-2026-0009.xlsx"/>
  </hyperlinks>
  <ignoredErrors>
    <ignoredError numberStoredAsText="1" sqref="A1:AN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5.83203125" customWidth="1"/>
    <col min="2" max="2" width="36.83203125" customWidth="1"/>
  </cols>
  <sheetData>
    <row r="1" ht="28" customHeight="1">
      <c r="A1" s="3" t="str">
        <v>NCR – UPUTSTVO I LOGIKA</v>
      </c>
      <c r="B1" s="3" t="str">
        <v/>
      </c>
    </row>
    <row r="2">
      <c r="A2" s="5" t="str">
        <v/>
      </c>
      <c r="B2" s="5" t="str">
        <v/>
      </c>
    </row>
    <row r="3">
      <c r="A3" s="6" t="str">
        <v>Tema</v>
      </c>
      <c r="B3" s="6" t="str">
        <v>Opis</v>
      </c>
    </row>
    <row r="4">
      <c r="A4" s="5" t="str">
        <v/>
      </c>
      <c r="B4" s="5" t="str">
        <v/>
      </c>
    </row>
    <row r="5">
      <c r="A5" s="6" t="str">
        <v>Svrha</v>
      </c>
      <c r="B5" s="6" t="str">
        <v>Master registar + pojedinačni Excel i PDF obrasci po NCR-u.</v>
      </c>
    </row>
    <row r="6">
      <c r="A6" s="5" t="str">
        <v>Folder</v>
      </c>
      <c r="B6" s="5" t="str">
        <v>KONTROLA_KVALITETA/NCR_KVALITET · Pojedinacni_Obrasci/</v>
      </c>
    </row>
    <row r="7">
      <c r="A7" s="6" t="str">
        <v>Master</v>
      </c>
      <c r="B7" s="6" t="str">
        <v>NCR_Registar_Master.xlsx — statistika, uvek otvoren na ekranu.</v>
      </c>
    </row>
    <row r="8">
      <c r="A8" s="5" t="str">
        <v>Šablon</v>
      </c>
      <c r="B8" s="5" t="str">
        <v>A4_NCR_Obrazac_Template.xlsx — blanko A4; ne menjati, uvek Save As.</v>
      </c>
    </row>
    <row r="9">
      <c r="A9" s="6" t="str">
        <v>Obrasci</v>
      </c>
      <c r="B9" s="6" t="str">
        <v>Pojedinacni_Obrasci/NCR-2026-001.xlsx i NCR-2026-001.pdf</v>
      </c>
    </row>
    <row r="10">
      <c r="A10" s="5" t="str">
        <v>Potpisi</v>
      </c>
      <c r="B10" s="5" t="str">
        <v>PDF i Excel: Kontrola · Proizvodnja · Menadžer kvaliteta (zatvaranje)</v>
      </c>
    </row>
    <row r="11">
      <c r="A11" s="6" t="str">
        <v>Link</v>
      </c>
      <c r="B11" s="6" t="str">
        <v>Kolona Link ka fajlu u Masteru — direktan put do Excel obrasca.</v>
      </c>
    </row>
    <row r="12">
      <c r="A12" s="5" t="str">
        <v>Zatvaranje</v>
      </c>
      <c r="B12" s="5" t="str">
        <v>Containment + dispozicija + verifikacija + sistemske akcije.</v>
      </c>
    </row>
    <row r="13">
      <c r="A13" s="6" t="str">
        <v/>
      </c>
      <c r="B13" s="6" t="str">
        <v/>
      </c>
    </row>
    <row r="14">
      <c r="A14" s="5" t="str">
        <v>STATUSI</v>
      </c>
      <c r="B14" s="5" t="str">
        <v>OTVOREN · CONTAINMENT · DISPOSITION · 8D · VERIFICATION · ZATVOREN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Registar</vt:lpstr>
      <vt:lpstr>Uputstvo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